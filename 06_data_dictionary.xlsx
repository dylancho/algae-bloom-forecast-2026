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face\Product\Work\Algae_Bloom_Contest\to_kisti_20260914\"/>
    </mc:Choice>
  </mc:AlternateContent>
  <xr:revisionPtr revIDLastSave="0" documentId="13_ncr:1_{F9AC5021-975B-4FBD-B8B0-ACD9DD263820}" xr6:coauthVersionLast="47" xr6:coauthVersionMax="47" xr10:uidLastSave="{00000000-0000-0000-0000-000000000000}"/>
  <bookViews>
    <workbookView xWindow="-110" yWindow="-110" windowWidth="18220" windowHeight="11500" tabRatio="500" xr2:uid="{00000000-000D-0000-FFFF-FFFF00000000}"/>
  </bookViews>
  <sheets>
    <sheet name="README" sheetId="1" r:id="rId1"/>
    <sheet name="①조류경보제_측정자료" sheetId="2" r:id="rId2"/>
    <sheet name="②다목적댐_운영자료" sheetId="3" r:id="rId3"/>
    <sheet name="③경보발령기준" sheetId="4" r:id="rId4"/>
    <sheet name="④제출형식_예시" sheetId="5" r:id="rId5"/>
    <sheet name="⑤데이터사전_조류경보제" sheetId="6" r:id="rId6"/>
    <sheet name="⑥데이터사전_다목적댐" sheetId="7" r:id="rId7"/>
    <sheet name="⑦데이터사전_ASOS" sheetId="8" r:id="rId8"/>
    <sheet name="⑧데이터사전_일평균수위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J8" i="2"/>
  <c r="J7" i="2"/>
  <c r="J6" i="2"/>
  <c r="J5" i="2"/>
  <c r="J4" i="2"/>
</calcChain>
</file>

<file path=xl/sharedStrings.xml><?xml version="1.0" encoding="utf-8"?>
<sst xmlns="http://schemas.openxmlformats.org/spreadsheetml/2006/main" count="543" uniqueCount="403">
  <si>
    <t>샘플 데이터 안내</t>
  </si>
  <si>
    <t>제목</t>
  </si>
  <si>
    <t>물관리·수질·기상 융합 기반 댐 저수지·하천 유해남조류(녹조) 발생 예측 AI 모델 개발</t>
  </si>
  <si>
    <t>[시트 구성]</t>
  </si>
  <si>
    <t>① 조류경보제_측정자료</t>
  </si>
  <si>
    <t>예측 대상(세포수) 실측 표본. 결측 및 참고지표 파생 예시 포함</t>
  </si>
  <si>
    <t>② 다목적댐_운영자료</t>
  </si>
  <si>
    <t>수문 입력 실측 표본 4개소</t>
  </si>
  <si>
    <t>③ 경보발령기준</t>
  </si>
  <si>
    <t>경보단계 기준(상수원 구간) 및 참고지표 산출 기준</t>
  </si>
  <si>
    <t>④ 제출형식_예시</t>
  </si>
  <si>
    <t>결과 파일 컬럼 규격(4개 컬럼) 및 예시행</t>
  </si>
  <si>
    <t>⑤ 데이터사전_조류경보제</t>
  </si>
  <si>
    <t>오픈API 21개 항목 필드 정의</t>
  </si>
  <si>
    <t>⑥ 데이터사전_다목적댐</t>
  </si>
  <si>
    <t>오픈API 요청·응답 필드 정의</t>
  </si>
  <si>
    <t>⑦ 데이터사전_ASOS</t>
  </si>
  <si>
    <t>종관기상관측 핵심 필드 정의(값 미수록)</t>
  </si>
  <si>
    <t>⑧ 데이터사전_일평균수위</t>
  </si>
  <si>
    <t>KISTI DataON 국가참조표준 메타데이터(값 미수록)</t>
  </si>
  <si>
    <t>[지점 식별자 규칙]</t>
  </si>
  <si>
    <t>station_id</t>
  </si>
  <si>
    <t>대상 지점 5개소 약어 : HP(해평), GJGR(강정·고령), CS(칠서), MGMR(물금·매리), DCHN(대청 회남)</t>
  </si>
  <si>
    <t>제안서 원문 예시는 GJGR·MGMR·DCH 3개였으며, DCH(개소 단위 대청호)는 DCHN(지점 단위 회남)으로 세분</t>
  </si>
  <si>
    <t>BR(보령 취수탑)은 대상 외 참고 표본용 약어</t>
  </si>
  <si>
    <t>실제 접수 시 사내 표준 지점코드가 있으면 교체 필요</t>
  </si>
  <si>
    <t>[단위 주의]</t>
  </si>
  <si>
    <t>세포수</t>
  </si>
  <si>
    <t>본 문서는 cells/mL 표기. 조류경보 발령 기준 및 공식 발표와 동일</t>
  </si>
  <si>
    <t>API 명세상 단위는 cells/100mL로 기재되어 있어 수집 시 응답값 스케일 확인 후 환산 필요</t>
  </si>
  <si>
    <t>[출처]</t>
  </si>
  <si>
    <t>경보 기준 : 「조류경보제 운영 매뉴얼」(2025. 8.) — https://www.water.or.kr/upload/board/2026/04/20260416110044_1.pdf</t>
  </si>
  <si>
    <t>조류경보제 지점 측정자료 (실측)</t>
  </si>
  <si>
    <t>station_name</t>
  </si>
  <si>
    <t>chck_de</t>
  </si>
  <si>
    <t>water_temp_c</t>
  </si>
  <si>
    <t>cells_per_ml</t>
  </si>
  <si>
    <t>cells_prev_year</t>
  </si>
  <si>
    <t>rain_mm_4d</t>
  </si>
  <si>
    <t>alert_level</t>
  </si>
  <si>
    <t>alert_start</t>
  </si>
  <si>
    <t>over_caution</t>
  </si>
  <si>
    <t>지점 약어</t>
  </si>
  <si>
    <t>측정소명</t>
  </si>
  <si>
    <t>측정일</t>
  </si>
  <si>
    <t>수온(℃)</t>
  </si>
  <si>
    <t>유해남조류 세포수
(cells/mL)</t>
  </si>
  <si>
    <t>전년 동시기
(cells/mL)</t>
  </si>
  <si>
    <t>누적 강우
(mm)</t>
  </si>
  <si>
    <t>발령 경보단계</t>
  </si>
  <si>
    <t>발령일</t>
  </si>
  <si>
    <t>경계 기준 초과 여부
(수식)</t>
  </si>
  <si>
    <t>DCHN</t>
  </si>
  <si>
    <t>대청(회남)</t>
  </si>
  <si>
    <t>2026-08-18</t>
  </si>
  <si>
    <t>경계</t>
  </si>
  <si>
    <t>2026-07-20</t>
  </si>
  <si>
    <t>HP</t>
  </si>
  <si>
    <t>낙동강 해평</t>
  </si>
  <si>
    <t>2026-08-10</t>
  </si>
  <si>
    <t>GJGR</t>
  </si>
  <si>
    <t>강정·고령</t>
  </si>
  <si>
    <t>MGMR</t>
  </si>
  <si>
    <t>물금·매리</t>
  </si>
  <si>
    <t>2026-08-19</t>
  </si>
  <si>
    <t>BR</t>
  </si>
  <si>
    <t>보령(취수탑)</t>
  </si>
  <si>
    <t>관심</t>
  </si>
  <si>
    <t>2026-08-13</t>
  </si>
  <si>
    <t>[실측] 측정일 '26. 8. 18. 기준(MGMR만 8. 19.). rain_mm_4d는 8. 15.~8. 18. 누적 강우량</t>
  </si>
  <si>
    <t>[실측] 지점·연도별 증감 상이 : 해평 전년 대비 약 29배 증가, 대청(회남) 82% 감소 → 일반화 성능 요구</t>
  </si>
  <si>
    <t>[실측] GJGR : 8. 13. 49,400 → 8. 18. 483,021 cells/mL, 5일 만에 약 10배 급증</t>
  </si>
  <si>
    <t>[정정] MGMR 채수일은 8. 19., 수온 27.3℃ — 오픈API 실응답('26. 9. 12. 확인) 기준</t>
  </si>
  <si>
    <t>[정정]   주간보고서는 8. 18. 기준으로 묶어 표기하고 수온을 생략하여 원자료와 상이</t>
  </si>
  <si>
    <t>[참고] 유량 증가로 인한 미채수 : 칠서 8. 13.·8. 18.(8. 10. 다음 채수가 8. 20.) — 실응답 확인</t>
  </si>
  <si>
    <t>[파생] over_caution(J열) : 경계 기준 10,000 cells/mL 초과 여부. 순위 미반영 참고지표 산출용</t>
  </si>
  <si>
    <t>[파생]   경보단계 분류 부과제는 '26. 9. 12. 협의로 삭제. 4단계 파생 라벨(level_derived·level_code) 제거</t>
  </si>
  <si>
    <t>[파생] alert_start의 연도(2026)는 원본이 '7. 20.~' 형식으로 연도를 생략하여 '26년 문맥에서 보완</t>
  </si>
  <si>
    <t>[신설] station_id 중 DCHN·HP·BR은 본 파일에서 정한 약어. 제안서 예시는 GJGR·MGMR·DCH 3개뿐</t>
  </si>
  <si>
    <t>[신설]   제안서 DCH는 개소 단위(대청호). 본 시트는 지점 단위이므로 DCHN(회남)으로 구분</t>
  </si>
  <si>
    <t>[신설] over_caution 컬럼은 원본 CSV 헤더에 없는 신설 컬럼</t>
  </si>
  <si>
    <t>[범위] 대상 지점은 해평·강정고령·칠서·물금매리·대청(회남) 5개소로 확정('26. 9. 12. 협의)</t>
  </si>
  <si>
    <t>[범위]   보령(취수탑)은 대상 외 참고 표본. 칠서는 해당 주 미채수로 표본 부재</t>
  </si>
  <si>
    <t>* 출처 : K-water 물환경관리처 「주간 녹조 발생 및 대응 현황(8월 3주)」, '26. 8. 19.</t>
  </si>
  <si>
    <t>다목적댐 운영자료 (실측)</t>
  </si>
  <si>
    <t>damnm</t>
  </si>
  <si>
    <t>suge</t>
  </si>
  <si>
    <t>obs_datetime</t>
  </si>
  <si>
    <t>prcptqy</t>
  </si>
  <si>
    <t>inflowqy</t>
  </si>
  <si>
    <t>totdcwtrqy</t>
  </si>
  <si>
    <t>totdcwtrqyjo</t>
  </si>
  <si>
    <t>nowlowlevel</t>
  </si>
  <si>
    <t>nowrsvwtqy</t>
  </si>
  <si>
    <t>rsvwtrt</t>
  </si>
  <si>
    <t>rsvwtrt_prev</t>
  </si>
  <si>
    <t>댐이름</t>
  </si>
  <si>
    <t>수계</t>
  </si>
  <si>
    <t>관측시각</t>
  </si>
  <si>
    <t>전일 강우량
(mm)</t>
  </si>
  <si>
    <t>유입량
(㎥/s)</t>
  </si>
  <si>
    <t>방류량 본댐
(㎥/s)</t>
  </si>
  <si>
    <t>방류량 조정지
(㎥/s)</t>
  </si>
  <si>
    <t>저수위
(EL.m)</t>
  </si>
  <si>
    <t>저수량
(백만㎥)</t>
  </si>
  <si>
    <t>저수율
(%)</t>
  </si>
  <si>
    <t>전년 저수율
(%)</t>
  </si>
  <si>
    <t>소양강</t>
  </si>
  <si>
    <t>2026-08-24 14:00</t>
  </si>
  <si>
    <t>안동</t>
  </si>
  <si>
    <t>합천</t>
  </si>
  <si>
    <t>대청</t>
  </si>
  <si>
    <t>금강</t>
  </si>
  <si>
    <t>[실측] '26. 8. 24. 14시 기준. 출처 : K-water 물정보포털(MyWater) 다목적댐 관리현황</t>
  </si>
  <si>
    <t>[실측] 합천댐 저수율 전년 72.7% → 금년 38.6% 급감. 강우 편차가 체류시간·녹조에 미치는 영향 분석 필요</t>
  </si>
  <si>
    <t>[결측] suge(수계) : 출처 표에 수계 열이 없어 대청(금강, API 명세 예시 근거)만 기재. 나머지는 API 실응답으로 확인 후 기입</t>
  </si>
  <si>
    <t>[신설] obs_datetime : API 필드 아님. 관측시각 표기용으로 본 파일에서 추가</t>
  </si>
  <si>
    <t>[신설] rsvwtrt_prev : API 필드 아님. 원본 표의 '저수율 전년' 값을 옮긴 컬럼</t>
  </si>
  <si>
    <t>[신설]   API의 전년·예년 비교 필드는 lastlowlevel·nyearlowlevel·lastrsvwtqy·nyearrsvwtqy이며 저수율 전년 코드는 미확인</t>
  </si>
  <si>
    <t>* 헤더의 영문 코드는 API 명세 필드에 대응시킨 표기. 값은 MyWater 화면 자료이므로 실응답 확인 후 확정 필요</t>
  </si>
  <si>
    <t>* 오픈API는 댐코드 지정 방식이 아니라 날짜·시각 조회로 21개소 전체를 반환 → '⑥데이터사전_다목적댐' 참조</t>
  </si>
  <si>
    <t>* 개발계정 트래픽 100건/일 제약. 장기 시계열 구축 시 파일(CSV) 병행 또는 운영계정 전환 필요</t>
  </si>
  <si>
    <t>조류경보 발령 기준 (상수원 구간) — 참고</t>
  </si>
  <si>
    <t>단계</t>
  </si>
  <si>
    <t>발령 기준 (유해남조류 세포수, 2회 연속)</t>
  </si>
  <si>
    <t>이상 (cells/mL)</t>
  </si>
  <si>
    <t>미만 (cells/mL)</t>
  </si>
  <si>
    <t>해제</t>
  </si>
  <si>
    <t>1,000 cells/mL 미만</t>
  </si>
  <si>
    <t>1,000 이상 10,000 미만</t>
  </si>
  <si>
    <t>10,000 이상 1,000,000 미만</t>
  </si>
  <si>
    <t>조류대발생</t>
  </si>
  <si>
    <t>1,000,000 이상</t>
  </si>
  <si>
    <t>* 출처 : 「조류경보제 운영 매뉴얼」(2025. 8.) 상수원 구간 기준</t>
  </si>
  <si>
    <t>* '이상'·'미만'은 개방구간. 미만 열의 값은 해당 단계에 포함되지 않음</t>
  </si>
  <si>
    <t>* 유해남조류 세포수 = Microcystis, Anabaena, Aphanizomenon, Oscillatoria 4속 세포수 합계</t>
  </si>
  <si>
    <t>* 친수활동 구간 기준은 별도 : 관심 20,000 이상 100,000 미만 / 경계 100,000 이상 / 해제 20,000 미만</t>
  </si>
  <si>
    <t>* 경보단계는 오픈API 미제공 항목으로 세포수에서 파생. 분류 부과제는 '26. 9. 12. 협의로 삭제</t>
  </si>
  <si>
    <t>* over_caution : 경계 기준(10,000 cells/mL) 초과 여부. 순위에 반영하지 않는 참고지표</t>
  </si>
  <si>
    <t>* 실제 발령·해제는 2회 연속 채취 기준이며, 단일 측정치로는 결정되지 않음</t>
  </si>
  <si>
    <t>* 기준에 도달하여도 강우 예보 등 기상상황을 고려해 발령·해제하지 않을 수 있음(매뉴얼 표6 비고 1)</t>
  </si>
  <si>
    <t>결과 파일 제출 형식</t>
  </si>
  <si>
    <t>평가 기간 내 각 (지점, 기준일) 조합에 대해 CSV(UTF-8) 파일 제출</t>
  </si>
  <si>
    <t>컬럼명</t>
  </si>
  <si>
    <t>설명</t>
  </si>
  <si>
    <t>타입/단위</t>
  </si>
  <si>
    <t>예시</t>
  </si>
  <si>
    <t>비고</t>
  </si>
  <si>
    <t>측정소(지점) 식별자</t>
  </si>
  <si>
    <t>String</t>
  </si>
  <si>
    <t>'①조류경보제_측정자료' 시트 station_id</t>
  </si>
  <si>
    <t>base_date</t>
  </si>
  <si>
    <t>예측 기준일(측정일)</t>
  </si>
  <si>
    <t>Date, YYYY-MM-DD</t>
  </si>
  <si>
    <t>2025-08-04</t>
  </si>
  <si>
    <t>target_date</t>
  </si>
  <si>
    <t>예측 대상일(실제 정답 측정일)</t>
  </si>
  <si>
    <t>2025-08-11</t>
  </si>
  <si>
    <t>기준일+7일 최근접 측정일, 차이 ±3일 이내만 인정</t>
  </si>
  <si>
    <t>pred_cells</t>
  </si>
  <si>
    <t>예측 유해남조류 세포수</t>
  </si>
  <si>
    <t>Integer, cells/mL</t>
  </si>
  <si>
    <t>18500</t>
  </si>
  <si>
    <t>채점 대상 (회귀 100%)</t>
  </si>
  <si>
    <t>[작성 예시]</t>
  </si>
  <si>
    <t>2025-08-05</t>
  </si>
  <si>
    <t>2025-08-12</t>
  </si>
  <si>
    <t>* 컬럼 규격은 '26. 9. 12. 협의 반영본. 예시값은 서식 이해를 돕기 위한 값으로 실제 예측 결과가 아님</t>
  </si>
  <si>
    <t>* 예시행 지점 약어는 확정 5개소 기준. 제안서 원문의 DCH(개소 단위 대청호)는 DCHN(지점 단위 회남)으로 교체</t>
  </si>
  <si>
    <t>[변경] pred_level 컬럼은 경보단계 분류 부과제 삭제에 따라 제외. station_id·base_date·target_date·pred_cells 4개 컬럼</t>
  </si>
  <si>
    <t>[권고] 컬럼 순서·명칭·타입 유지, 헤더 행 포함 (본 샘플 작성자 권고). CSV·UTF-8은 제안서 원문</t>
  </si>
  <si>
    <t>[매칭] 기준일+7일 ±3일 이내에 측정이 없는 (지점, 기준일) 조합은 채점 대상에서 제외</t>
  </si>
  <si>
    <t>https://www.data.go.kr/data/15126738/openapi.do</t>
  </si>
  <si>
    <t>영문 필드코드</t>
  </si>
  <si>
    <t>타입</t>
  </si>
  <si>
    <t>단위</t>
  </si>
  <si>
    <t>swmnCode</t>
  </si>
  <si>
    <t>조사지점코드</t>
  </si>
  <si>
    <t>-</t>
  </si>
  <si>
    <t>코드표 별도 제공</t>
  </si>
  <si>
    <t>swmnNm</t>
  </si>
  <si>
    <t>조사지점명</t>
  </si>
  <si>
    <t>강정고령, 물금매리 등</t>
  </si>
  <si>
    <t>swmnDetailNm</t>
  </si>
  <si>
    <t>조사위치</t>
  </si>
  <si>
    <t>detailAdres</t>
  </si>
  <si>
    <t>주소</t>
  </si>
  <si>
    <t>riverLkmhSe</t>
  </si>
  <si>
    <t>하천호소구분</t>
  </si>
  <si>
    <t>하천 / 호소</t>
  </si>
  <si>
    <t>chckDe</t>
  </si>
  <si>
    <t>검사일자</t>
  </si>
  <si>
    <t>iemWtrtp</t>
  </si>
  <si>
    <t>수온</t>
  </si>
  <si>
    <t>℃</t>
  </si>
  <si>
    <t>iemPh</t>
  </si>
  <si>
    <t>수소이온농도</t>
  </si>
  <si>
    <t>pH</t>
  </si>
  <si>
    <t>iemDoc</t>
  </si>
  <si>
    <t>용존산소(DO)</t>
  </si>
  <si>
    <t>mg/L</t>
  </si>
  <si>
    <t>iemTrp</t>
  </si>
  <si>
    <t>투명도</t>
  </si>
  <si>
    <t>iemTur</t>
  </si>
  <si>
    <t>탁도</t>
  </si>
  <si>
    <t>iemChla</t>
  </si>
  <si>
    <t>클로로필a</t>
  </si>
  <si>
    <t>mg/㎥</t>
  </si>
  <si>
    <t>iemBgalageCellCo</t>
  </si>
  <si>
    <t>유해남조류 세포수</t>
  </si>
  <si>
    <t>cells/mL</t>
  </si>
  <si>
    <t>예측 대상(라벨)</t>
  </si>
  <si>
    <t>iemBgalageMicrosts</t>
  </si>
  <si>
    <t>유해남조류(Microcystis)</t>
  </si>
  <si>
    <t>속별 세포수</t>
  </si>
  <si>
    <t>iemBgalageAnba</t>
  </si>
  <si>
    <t>유해남조류(Anabaena)</t>
  </si>
  <si>
    <t>iemBgalageApzo</t>
  </si>
  <si>
    <t>유해남조류(Aphanizomenon)</t>
  </si>
  <si>
    <t>iemBgalageOsrtria</t>
  </si>
  <si>
    <t>유해남조류(Oscillatoria)</t>
  </si>
  <si>
    <t>iemGeosm</t>
  </si>
  <si>
    <t>냄새물질(지오스민)</t>
  </si>
  <si>
    <t>이취미 관리 지표</t>
  </si>
  <si>
    <t>iemMib2</t>
  </si>
  <si>
    <t>냄새물질(2-MIB)</t>
  </si>
  <si>
    <t>iemMicrostlr</t>
  </si>
  <si>
    <t>Microcystin-LR</t>
  </si>
  <si>
    <t>μg/L</t>
  </si>
  <si>
    <t>조류독소</t>
  </si>
  <si>
    <t>rowno</t>
  </si>
  <si>
    <t>행번호</t>
  </si>
  <si>
    <t>* 총 21개 항목. XML 전용(JSON 미지원), 개발계정 트래픽 10,000건</t>
  </si>
  <si>
    <t>* Base URL : apis.data.go.kr/1480523/nieragainstalgae, 오퍼레이션 GET /algaePreMeasure</t>
  </si>
  <si>
    <t>* 공통 응답부 : header(resultCode, resultMsg) / body(items, numOfRows, pageNo, totalCount)</t>
  </si>
  <si>
    <t>* 전 항목 선언 타입이 String이므로 수치 연산 전 형변환 필요</t>
  </si>
  <si>
    <t>* 경보단계·우점종 필드는 미제공. 경보단계는 참고지표 산출용으로만 파생('③경보발령기준' 참조)</t>
  </si>
  <si>
    <t>* 우점종 : 4개 속별 세포수 최댓값으로 결정</t>
  </si>
  <si>
    <t>* 단위 : 명세상 cells/100mL로 기재되어 있으나 발령 기준·공식 발표는 cells/mL. 수집 시 스케일 확인 필요</t>
  </si>
  <si>
    <t>* 제공기관 : 기후에너지환경부 국립환경과학원 (관리 : 대구지방환경청 측정분석과)</t>
  </si>
  <si>
    <t>https://www.data.go.kr/data/15099049/openapi.do</t>
  </si>
  <si>
    <t>[요청 변수] 날짜·시각 기준 조회로 다목적댐 21개소 전체 반환 (댐코드 지정 방식 아님)</t>
  </si>
  <si>
    <t>항목명</t>
  </si>
  <si>
    <t>구분</t>
  </si>
  <si>
    <t>serviceKey</t>
  </si>
  <si>
    <t>서비스키</t>
  </si>
  <si>
    <t>필수</t>
  </si>
  <si>
    <t>공공데이터포털 인증키</t>
  </si>
  <si>
    <t>vdate</t>
  </si>
  <si>
    <t>선택날짜</t>
  </si>
  <si>
    <t>2018-08-20</t>
  </si>
  <si>
    <t>tdate</t>
  </si>
  <si>
    <t>전일</t>
  </si>
  <si>
    <t>2018-08-19</t>
  </si>
  <si>
    <t>ldate</t>
  </si>
  <si>
    <t>전년도</t>
  </si>
  <si>
    <t>2017-08-20</t>
  </si>
  <si>
    <t>vtime</t>
  </si>
  <si>
    <t>조회시간</t>
  </si>
  <si>
    <t>07</t>
  </si>
  <si>
    <t>pageNo / numOfRows</t>
  </si>
  <si>
    <t>페이지 / 결과수</t>
  </si>
  <si>
    <t>1 / 10</t>
  </si>
  <si>
    <t>_type</t>
  </si>
  <si>
    <t>출력형식</t>
  </si>
  <si>
    <t>옵션</t>
  </si>
  <si>
    <t>xml / json</t>
  </si>
  <si>
    <t>[응답 필드]</t>
  </si>
  <si>
    <t>예: 금강</t>
  </si>
  <si>
    <t>예: 대청</t>
  </si>
  <si>
    <t>zerosevenhourprcptqy</t>
  </si>
  <si>
    <t>강우량(금일)</t>
  </si>
  <si>
    <t>mm</t>
  </si>
  <si>
    <t>강우량(전일)</t>
  </si>
  <si>
    <t>pyacurf / vyacurf / oyaacurf</t>
  </si>
  <si>
    <t>누계강우량(금년/전년/예년)</t>
  </si>
  <si>
    <t>연 단위 강우 편차 특징</t>
  </si>
  <si>
    <t>전일 유입량</t>
  </si>
  <si>
    <t>㎥/sec</t>
  </si>
  <si>
    <t>전일 방류량(본댐)</t>
  </si>
  <si>
    <t>체류시간 산정 핵심</t>
  </si>
  <si>
    <t>전일 방류량(조정지)</t>
  </si>
  <si>
    <t>조정지 보유 댐</t>
  </si>
  <si>
    <t>저수위(현재)</t>
  </si>
  <si>
    <t>EL.m</t>
  </si>
  <si>
    <t>전년/예년 별도 제공</t>
  </si>
  <si>
    <t>저수량(현재)</t>
  </si>
  <si>
    <t>백만㎥</t>
  </si>
  <si>
    <t>현재저수율</t>
  </si>
  <si>
    <t>%</t>
  </si>
  <si>
    <t>계획홍수위 기준</t>
  </si>
  <si>
    <t>dvlpqyacmtlacmslt</t>
  </si>
  <si>
    <t>발전량(실적)</t>
  </si>
  <si>
    <t>MWh</t>
  </si>
  <si>
    <t>계획·연간계획 등 4개 항목</t>
  </si>
  <si>
    <t>lastlowlevel / nyearlowlevel</t>
  </si>
  <si>
    <t>저수위(전년/예년)</t>
  </si>
  <si>
    <t>lastrsvwtqy / nyearrsvwtqy</t>
  </si>
  <si>
    <t>저수량(전년/예년)</t>
  </si>
  <si>
    <t>* 요청주소 : apis.data.go.kr/B500001/dam/multipurPoseDam/multipurPoseDamlist</t>
  </si>
  <si>
    <t>* 개발계정 트래픽 100건/일 → 장기 시계열 구축 시 파일(XLS/CSV) 병행 또는 운영계정 전환 필요</t>
  </si>
  <si>
    <t>https://www.data.go.kr/data/15059093/openapi.do</t>
  </si>
  <si>
    <t>※ 실측 표본 미수록. 필드 스키마만 제공하며 참가자가 직접 수집</t>
  </si>
  <si>
    <t>항목</t>
  </si>
  <si>
    <t>stnId</t>
  </si>
  <si>
    <t>지점번호</t>
  </si>
  <si>
    <t>ASOS 관측 지점</t>
  </si>
  <si>
    <t>대전 133, 대구 143, 부산 159, 안동 136</t>
  </si>
  <si>
    <t>stnNm</t>
  </si>
  <si>
    <t>지점명</t>
  </si>
  <si>
    <t>관측 지점명</t>
  </si>
  <si>
    <t>tm</t>
  </si>
  <si>
    <t>관측일시</t>
  </si>
  <si>
    <t>시간 또는 일</t>
  </si>
  <si>
    <t>시간·일자료 제공</t>
  </si>
  <si>
    <t>avgTa / maxTa / minTa</t>
  </si>
  <si>
    <t>기온</t>
  </si>
  <si>
    <t>평균·최고·최저</t>
  </si>
  <si>
    <t>수온의 대리 변수</t>
  </si>
  <si>
    <t>sumRn</t>
  </si>
  <si>
    <t>일강수량</t>
  </si>
  <si>
    <t>시간·일 강수량</t>
  </si>
  <si>
    <t>영양염 유입·희석</t>
  </si>
  <si>
    <t>hr1MaxRn</t>
  </si>
  <si>
    <t>1시간 최다강수량</t>
  </si>
  <si>
    <t>avgWs / maxWs</t>
  </si>
  <si>
    <t>풍속</t>
  </si>
  <si>
    <t>평균·최대 풍속</t>
  </si>
  <si>
    <t>m/s</t>
  </si>
  <si>
    <t>성층·수직혼합</t>
  </si>
  <si>
    <t>maxInsWs</t>
  </si>
  <si>
    <t>최대순간풍속</t>
  </si>
  <si>
    <t>avgRhm</t>
  </si>
  <si>
    <t>습도</t>
  </si>
  <si>
    <t>평균 상대습도</t>
  </si>
  <si>
    <t>sumSsHr</t>
  </si>
  <si>
    <t>일조</t>
  </si>
  <si>
    <t>합계 일조시간</t>
  </si>
  <si>
    <t>hr</t>
  </si>
  <si>
    <t>광합성 조건</t>
  </si>
  <si>
    <t>sumGsr</t>
  </si>
  <si>
    <t>일사</t>
  </si>
  <si>
    <t>합계 일사량</t>
  </si>
  <si>
    <t>MJ/㎡</t>
  </si>
  <si>
    <t>avgTd</t>
  </si>
  <si>
    <t>이슬점</t>
  </si>
  <si>
    <t>평균 이슬점온도</t>
  </si>
  <si>
    <t>avgPs</t>
  </si>
  <si>
    <t>기압</t>
  </si>
  <si>
    <t>평균 해면기압</t>
  </si>
  <si>
    <t>hPa</t>
  </si>
  <si>
    <t>avgTca</t>
  </si>
  <si>
    <t>전운량</t>
  </si>
  <si>
    <t>평균 전운량</t>
  </si>
  <si>
    <t>* hr1MaxRn·maxInsWs·avgTd·avgPs·avgTca의 국문 항목명은 제안서 표에 없음. API 실응답으로 확정 필요</t>
  </si>
  <si>
    <t>* 요청변수 : serviceKey, stnIds(지점번호), startDt·endDt(YYYYMMDD), dataCd=ASOS, dateCd=DAY, pageNo, numOfRows, dataType</t>
  </si>
  <si>
    <t>* QC FLAG : 0 정상 / 1 오류 / 9 결측. 전일 자료는 당일 10시 이후 확인 가능</t>
  </si>
  <si>
    <t>* 기상청 API허브(apihub.kma.go.kr)는 별도 필드체계(STN, TM, TA_AVG, RN_DAY 등) → 혼용 금지</t>
  </si>
  <si>
    <t>※ 실측 표본 미수록. 메타데이터만 제공하며 참가자가 KISTI DataON에서 직접 내려받아 사용</t>
  </si>
  <si>
    <t>데이터명</t>
  </si>
  <si>
    <t>댐유역 하천 일평균수위</t>
  </si>
  <si>
    <t>성격</t>
  </si>
  <si>
    <t>국가참조표준. 댐·하천 관측소에서 계측한 수위의 일평균</t>
  </si>
  <si>
    <t>초록</t>
  </si>
  <si>
    <t>댐운영 관리에 활용하고자 댐 및 하천 관측소에서 계측한 수위의 일평균</t>
  </si>
  <si>
    <t>발행처</t>
  </si>
  <si>
    <t>한국표준과학연구원 국가참조표준센터</t>
  </si>
  <si>
    <t>생산자</t>
  </si>
  <si>
    <t>한국수자원공사 (오재우·이영창·이재용)</t>
  </si>
  <si>
    <t>버전</t>
  </si>
  <si>
    <t>5 (제·개정 '25. 12. 16., '24년 데이터 추가)</t>
  </si>
  <si>
    <t>갱신 주기</t>
  </si>
  <si>
    <t>연 1회</t>
  </si>
  <si>
    <t>라이선스</t>
  </si>
  <si>
    <t>CC BY-NC-SA (공공누리 제2유형)</t>
  </si>
  <si>
    <t>유형·포맷</t>
  </si>
  <si>
    <t>파일</t>
  </si>
  <si>
    <t>주제분류</t>
  </si>
  <si>
    <t>환경 · 수문 · 수위</t>
  </si>
  <si>
    <t>키워드</t>
  </si>
  <si>
    <t>K-water, Hydrologic, Environment, Water level, Dam</t>
  </si>
  <si>
    <t>DOI</t>
  </si>
  <si>
    <t>10.20925/KSRD.74670854.v5</t>
  </si>
  <si>
    <t>참조표준 ID</t>
  </si>
  <si>
    <t>dcId=DC220919-045, rtrdDsId=DS221117-272</t>
  </si>
  <si>
    <t>URL</t>
  </si>
  <si>
    <t>https://dataon.kisti.re.kr/search/view.do?mode=view&amp;svcId=683386b621f469db2f44fb1ff25fe4ca</t>
  </si>
  <si>
    <t>활용 방식</t>
  </si>
  <si>
    <t>댐 지점 중심의 다목적댐 운영정보를 하천 구간 수위로 보강</t>
  </si>
  <si>
    <t>댐~취수지점 사이 수리 조건을 연결해 체류시간 대리변수의 설명력 제고</t>
  </si>
  <si>
    <t>국가참조표준으로 품질이 관리되고 매년 갱신되어 평가 구간까지 입력 확보 가능</t>
  </si>
  <si>
    <t>* DataON에 녹조·남조류 직결 연구데이터는 부재</t>
  </si>
  <si>
    <t>* '26. 8월 DataON 데이터셋 검색(국내 등록 기준) : '남조류' 0건, '녹조' 1건(화석 표본), '수질' 66건</t>
  </si>
  <si>
    <r>
      <rPr>
        <sz val="9"/>
        <color rgb="FF808080"/>
        <rFont val="Segoe UI Symbol"/>
        <family val="1"/>
      </rPr>
      <t>②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다목적댐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운영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정보</t>
    </r>
    <r>
      <rPr>
        <sz val="9"/>
        <color rgb="FF808080"/>
        <rFont val="Arial"/>
        <family val="2"/>
      </rPr>
      <t xml:space="preserve"> : https://www.data.go.kr/data/15099049/openapi.do</t>
    </r>
    <phoneticPr fontId="15" type="noConversion"/>
  </si>
  <si>
    <r>
      <rPr>
        <sz val="9"/>
        <color rgb="FF808080"/>
        <rFont val="Segoe UI Symbol"/>
        <family val="1"/>
      </rPr>
      <t>①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조류경보제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조회서비스</t>
    </r>
    <r>
      <rPr>
        <sz val="9"/>
        <color rgb="FF808080"/>
        <rFont val="Arial"/>
        <family val="2"/>
      </rPr>
      <t xml:space="preserve"> : https://www.data.go.kr/data/15126738/openapi.do</t>
    </r>
    <phoneticPr fontId="15" type="noConversion"/>
  </si>
  <si>
    <r>
      <rPr>
        <sz val="9"/>
        <color rgb="FF808080"/>
        <rFont val="Segoe UI Symbol"/>
        <family val="1"/>
      </rPr>
      <t>③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지상</t>
    </r>
    <r>
      <rPr>
        <sz val="9"/>
        <color rgb="FF808080"/>
        <rFont val="Arial"/>
        <family val="2"/>
      </rPr>
      <t xml:space="preserve">(ASOS) </t>
    </r>
    <r>
      <rPr>
        <sz val="9"/>
        <color rgb="FF808080"/>
        <rFont val="맑은 고딕"/>
        <family val="3"/>
        <charset val="129"/>
      </rPr>
      <t>종관기상관측</t>
    </r>
    <r>
      <rPr>
        <sz val="9"/>
        <color rgb="FF808080"/>
        <rFont val="Arial"/>
        <family val="2"/>
      </rPr>
      <t xml:space="preserve"> : https://www.data.go.kr/data/15059093/openapi.do</t>
    </r>
    <phoneticPr fontId="15" type="noConversion"/>
  </si>
  <si>
    <r>
      <rPr>
        <sz val="9"/>
        <color rgb="FF808080"/>
        <rFont val="Segoe UI Symbol"/>
        <family val="1"/>
      </rPr>
      <t>④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댐유역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하천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일평균수위</t>
    </r>
    <r>
      <rPr>
        <sz val="9"/>
        <color rgb="FF808080"/>
        <rFont val="Arial"/>
        <family val="2"/>
      </rPr>
      <t xml:space="preserve"> : https://dataon.kisti.re.kr/search/view.do?mode=view&amp;svcId=683386b621f469db2f44fb1ff25fe4ca</t>
    </r>
    <phoneticPr fontId="15" type="noConversion"/>
  </si>
  <si>
    <r>
      <rPr>
        <sz val="9"/>
        <color rgb="FF808080"/>
        <rFont val="맑은 고딕"/>
        <family val="3"/>
        <charset val="129"/>
      </rPr>
      <t>실측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표본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Noto Sans CJK SC"/>
        <family val="1"/>
        <charset val="129"/>
      </rPr>
      <t>①</t>
    </r>
    <r>
      <rPr>
        <sz val="9"/>
        <color rgb="FF808080"/>
        <rFont val="Arial"/>
        <family val="2"/>
      </rPr>
      <t xml:space="preserve"> : K-water </t>
    </r>
    <r>
      <rPr>
        <sz val="9"/>
        <color rgb="FF808080"/>
        <rFont val="맑은 고딕"/>
        <family val="3"/>
        <charset val="129"/>
      </rPr>
      <t>물환경관리처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「주간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녹조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발생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및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대응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현황</t>
    </r>
    <r>
      <rPr>
        <sz val="9"/>
        <color rgb="FF808080"/>
        <rFont val="Arial"/>
        <family val="2"/>
      </rPr>
      <t>(8</t>
    </r>
    <r>
      <rPr>
        <sz val="9"/>
        <color rgb="FF808080"/>
        <rFont val="맑은 고딕"/>
        <family val="3"/>
        <charset val="129"/>
      </rPr>
      <t>월</t>
    </r>
    <r>
      <rPr>
        <sz val="9"/>
        <color rgb="FF808080"/>
        <rFont val="Arial"/>
        <family val="2"/>
      </rPr>
      <t xml:space="preserve"> 3</t>
    </r>
    <r>
      <rPr>
        <sz val="9"/>
        <color rgb="FF808080"/>
        <rFont val="맑은 고딕"/>
        <family val="3"/>
        <charset val="129"/>
      </rPr>
      <t>주</t>
    </r>
    <r>
      <rPr>
        <sz val="9"/>
        <color rgb="FF808080"/>
        <rFont val="Arial"/>
        <family val="2"/>
      </rPr>
      <t>)</t>
    </r>
    <r>
      <rPr>
        <sz val="9"/>
        <color rgb="FF808080"/>
        <rFont val="맑은 고딕"/>
        <family val="3"/>
        <charset val="129"/>
      </rPr>
      <t>」</t>
    </r>
    <r>
      <rPr>
        <sz val="9"/>
        <color rgb="FF808080"/>
        <rFont val="Arial"/>
        <family val="2"/>
      </rPr>
      <t>, '26. 8. 19.</t>
    </r>
    <phoneticPr fontId="15" type="noConversion"/>
  </si>
  <si>
    <r>
      <rPr>
        <sz val="9"/>
        <color rgb="FF808080"/>
        <rFont val="맑은 고딕"/>
        <family val="3"/>
        <charset val="129"/>
      </rPr>
      <t>실측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표본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Noto Sans CJK SC"/>
        <family val="1"/>
        <charset val="129"/>
      </rPr>
      <t>②</t>
    </r>
    <r>
      <rPr>
        <sz val="9"/>
        <color rgb="FF808080"/>
        <rFont val="Arial"/>
        <family val="2"/>
      </rPr>
      <t xml:space="preserve"> : K-water </t>
    </r>
    <r>
      <rPr>
        <sz val="9"/>
        <color rgb="FF808080"/>
        <rFont val="맑은 고딕"/>
        <family val="3"/>
        <charset val="129"/>
      </rPr>
      <t>물정보포털</t>
    </r>
    <r>
      <rPr>
        <sz val="9"/>
        <color rgb="FF808080"/>
        <rFont val="Arial"/>
        <family val="2"/>
      </rPr>
      <t xml:space="preserve">(MyWater) </t>
    </r>
    <r>
      <rPr>
        <sz val="9"/>
        <color rgb="FF808080"/>
        <rFont val="맑은 고딕"/>
        <family val="3"/>
        <charset val="129"/>
      </rPr>
      <t>다목적댐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관리현황</t>
    </r>
    <r>
      <rPr>
        <sz val="9"/>
        <color rgb="FF808080"/>
        <rFont val="Arial"/>
        <family val="2"/>
      </rPr>
      <t>, '26. 8. 24. 14</t>
    </r>
    <r>
      <rPr>
        <sz val="9"/>
        <color rgb="FF808080"/>
        <rFont val="맑은 고딕"/>
        <family val="3"/>
        <charset val="129"/>
      </rPr>
      <t>시</t>
    </r>
    <phoneticPr fontId="15" type="noConversion"/>
  </si>
  <si>
    <r>
      <rPr>
        <b/>
        <sz val="13"/>
        <rFont val="맑은 고딕"/>
        <family val="3"/>
        <charset val="129"/>
      </rPr>
      <t>데이터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사전</t>
    </r>
    <r>
      <rPr>
        <b/>
        <sz val="13"/>
        <rFont val="Arial"/>
        <family val="2"/>
      </rPr>
      <t xml:space="preserve"> </t>
    </r>
    <r>
      <rPr>
        <b/>
        <sz val="13"/>
        <rFont val="Noto Sans CJK SC"/>
        <family val="1"/>
        <charset val="129"/>
      </rPr>
      <t>①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조류경보제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조회서비스</t>
    </r>
    <r>
      <rPr>
        <b/>
        <sz val="13"/>
        <rFont val="Arial"/>
        <family val="2"/>
      </rPr>
      <t xml:space="preserve"> (15126738)</t>
    </r>
    <phoneticPr fontId="15" type="noConversion"/>
  </si>
  <si>
    <r>
      <rPr>
        <b/>
        <sz val="13"/>
        <rFont val="맑은 고딕"/>
        <family val="3"/>
        <charset val="129"/>
      </rPr>
      <t>데이터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사전</t>
    </r>
    <r>
      <rPr>
        <b/>
        <sz val="13"/>
        <rFont val="Arial"/>
        <family val="2"/>
      </rPr>
      <t xml:space="preserve"> </t>
    </r>
    <r>
      <rPr>
        <b/>
        <sz val="13"/>
        <rFont val="Noto Sans CJK SC"/>
        <family val="1"/>
        <charset val="129"/>
      </rPr>
      <t>②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다목적댐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운영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정보</t>
    </r>
    <r>
      <rPr>
        <b/>
        <sz val="13"/>
        <rFont val="Arial"/>
        <family val="2"/>
      </rPr>
      <t xml:space="preserve"> (15099049)</t>
    </r>
    <phoneticPr fontId="15" type="noConversion"/>
  </si>
  <si>
    <r>
      <rPr>
        <b/>
        <sz val="13"/>
        <rFont val="맑은 고딕"/>
        <family val="3"/>
        <charset val="129"/>
      </rPr>
      <t>데이터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사전</t>
    </r>
    <r>
      <rPr>
        <b/>
        <sz val="13"/>
        <rFont val="Arial"/>
        <family val="2"/>
      </rPr>
      <t xml:space="preserve"> </t>
    </r>
    <r>
      <rPr>
        <b/>
        <sz val="13"/>
        <rFont val="Noto Sans CJK SC"/>
        <family val="1"/>
        <charset val="129"/>
      </rPr>
      <t>③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지상</t>
    </r>
    <r>
      <rPr>
        <b/>
        <sz val="13"/>
        <rFont val="Arial"/>
        <family val="2"/>
      </rPr>
      <t xml:space="preserve">(ASOS) </t>
    </r>
    <r>
      <rPr>
        <b/>
        <sz val="13"/>
        <rFont val="맑은 고딕"/>
        <family val="3"/>
        <charset val="129"/>
      </rPr>
      <t>종관기상관측</t>
    </r>
    <r>
      <rPr>
        <b/>
        <sz val="13"/>
        <rFont val="Arial"/>
        <family val="2"/>
      </rPr>
      <t xml:space="preserve"> (15059093)</t>
    </r>
    <phoneticPr fontId="15" type="noConversion"/>
  </si>
  <si>
    <r>
      <rPr>
        <b/>
        <sz val="13"/>
        <rFont val="맑은 고딕"/>
        <family val="3"/>
        <charset val="129"/>
      </rPr>
      <t>데이터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사전</t>
    </r>
    <r>
      <rPr>
        <b/>
        <sz val="13"/>
        <rFont val="Arial"/>
        <family val="2"/>
      </rPr>
      <t xml:space="preserve"> </t>
    </r>
    <r>
      <rPr>
        <b/>
        <sz val="13"/>
        <rFont val="Noto Sans CJK SC"/>
        <family val="1"/>
        <charset val="129"/>
      </rPr>
      <t>④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댐유역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하천</t>
    </r>
    <r>
      <rPr>
        <b/>
        <sz val="13"/>
        <rFont val="Arial"/>
        <family val="2"/>
      </rPr>
      <t xml:space="preserve"> </t>
    </r>
    <r>
      <rPr>
        <b/>
        <sz val="13"/>
        <rFont val="맑은 고딕"/>
        <family val="3"/>
        <charset val="129"/>
      </rPr>
      <t>일평균수위</t>
    </r>
    <r>
      <rPr>
        <b/>
        <sz val="13"/>
        <rFont val="Arial"/>
        <family val="2"/>
      </rPr>
      <t xml:space="preserve"> (</t>
    </r>
    <r>
      <rPr>
        <b/>
        <sz val="13"/>
        <rFont val="맑은 고딕"/>
        <family val="3"/>
        <charset val="129"/>
      </rPr>
      <t>국가참조표준</t>
    </r>
    <r>
      <rPr>
        <b/>
        <sz val="13"/>
        <rFont val="Arial"/>
        <family val="2"/>
      </rPr>
      <t>)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</si>
</sst>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5">
    <font>
      <sz val="11"/>
      <color theme="1"/>
      <name val="Calibri"/>
      <family val="2"/>
      <charset val="1"/>
    </font>
    <font>
      <b/>
      <sz val="13"/>
      <name val="Noto Sans CJK SC"/>
      <family val="2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맑은 고딕"/>
      <family val="3"/>
      <charset val="129"/>
    </font>
    <font>
      <b/>
      <sz val="13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00000"/>
      <name val="Noto Sans CJK SC"/>
      <family val="2"/>
    </font>
    <font>
      <sz val="10"/>
      <color rgb="FF008000"/>
      <name val="Noto Sans CJK SC"/>
      <family val="2"/>
    </font>
    <font>
      <i/>
      <sz val="9"/>
      <color rgb="FF808080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  <font>
      <sz val="10"/>
      <name val="Noto Sans CJK SC"/>
      <family val="3"/>
      <charset val="129"/>
    </font>
    <font>
      <sz val="9"/>
      <color rgb="FF808080"/>
      <name val="Arial"/>
      <family val="2"/>
    </font>
    <font>
      <sz val="9"/>
      <color rgb="FF808080"/>
      <name val="Segoe UI Symbol"/>
      <family val="1"/>
    </font>
    <font>
      <sz val="9"/>
      <color rgb="FF808080"/>
      <name val="Noto Sans CJK SC"/>
      <family val="1"/>
    </font>
    <font>
      <sz val="9"/>
      <color rgb="FF808080"/>
      <name val="Noto Sans CJK SC"/>
      <family val="1"/>
      <charset val="129"/>
    </font>
    <font>
      <sz val="9"/>
      <color rgb="FF808080"/>
      <name val="Noto Sans CJK SC"/>
      <family val="3"/>
      <charset val="129"/>
    </font>
    <font>
      <b/>
      <sz val="13"/>
      <name val="Arial"/>
      <family val="2"/>
    </font>
    <font>
      <b/>
      <sz val="13"/>
      <name val="Noto Sans CJK SC"/>
      <family val="1"/>
      <charset val="129"/>
    </font>
    <font>
      <b/>
      <sz val="13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B5B7A"/>
        <bgColor rgb="FF333399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176" fontId="3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0" xfId="0" applyFont="1"/>
    <xf numFmtId="0" fontId="16" fillId="0" borderId="0" xfId="0" applyFont="1" applyAlignment="1">
      <alignment vertical="center" wrapText="1"/>
    </xf>
    <xf numFmtId="0" fontId="19" fillId="0" borderId="0" xfId="0" applyFont="1"/>
    <xf numFmtId="0" fontId="21" fillId="0" borderId="0" xfId="0" applyFont="1"/>
    <xf numFmtId="0" fontId="2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5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showGridLines="0" tabSelected="1" zoomScale="130" zoomScaleNormal="130" workbookViewId="0"/>
  </sheetViews>
  <sheetFormatPr defaultColWidth="8.7265625" defaultRowHeight="14.5"/>
  <cols>
    <col min="1" max="1" width="25.7265625" customWidth="1"/>
    <col min="2" max="2" width="110" customWidth="1"/>
  </cols>
  <sheetData>
    <row r="1" spans="1:2" ht="21.75" customHeight="1">
      <c r="A1" s="1" t="s">
        <v>0</v>
      </c>
    </row>
    <row r="3" spans="1:2" ht="16">
      <c r="A3" s="6" t="s">
        <v>1</v>
      </c>
      <c r="B3" s="3" t="s">
        <v>2</v>
      </c>
    </row>
    <row r="4" spans="1:2">
      <c r="A4" s="2"/>
      <c r="B4" s="3"/>
    </row>
    <row r="5" spans="1:2" ht="16">
      <c r="A5" s="5" t="s">
        <v>3</v>
      </c>
      <c r="B5" s="3"/>
    </row>
    <row r="6" spans="1:2">
      <c r="A6" s="2" t="s">
        <v>4</v>
      </c>
      <c r="B6" s="27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17</v>
      </c>
    </row>
    <row r="13" spans="1:2" ht="16">
      <c r="A13" s="2" t="s">
        <v>18</v>
      </c>
      <c r="B13" s="4" t="s">
        <v>19</v>
      </c>
    </row>
    <row r="14" spans="1:2">
      <c r="A14" s="2"/>
      <c r="B14" s="3"/>
    </row>
    <row r="15" spans="1:2" ht="16">
      <c r="A15" s="5" t="s">
        <v>20</v>
      </c>
      <c r="B15" s="3"/>
    </row>
    <row r="16" spans="1:2" ht="16">
      <c r="A16" s="6" t="s">
        <v>21</v>
      </c>
      <c r="B16" s="27" t="s">
        <v>22</v>
      </c>
    </row>
    <row r="17" spans="1:2">
      <c r="A17" s="2"/>
      <c r="B17" s="3" t="s">
        <v>23</v>
      </c>
    </row>
    <row r="18" spans="1:2" ht="16">
      <c r="A18" s="2"/>
      <c r="B18" s="4" t="s">
        <v>24</v>
      </c>
    </row>
    <row r="19" spans="1:2">
      <c r="A19" s="2"/>
      <c r="B19" s="3" t="s">
        <v>25</v>
      </c>
    </row>
    <row r="20" spans="1:2">
      <c r="A20" s="2"/>
      <c r="B20" s="3"/>
    </row>
    <row r="21" spans="1:2" ht="16">
      <c r="A21" s="5" t="s">
        <v>26</v>
      </c>
      <c r="B21" s="3"/>
    </row>
    <row r="22" spans="1:2">
      <c r="A22" s="2" t="s">
        <v>27</v>
      </c>
      <c r="B22" s="3" t="s">
        <v>28</v>
      </c>
    </row>
    <row r="23" spans="1:2" ht="16">
      <c r="A23" s="2"/>
      <c r="B23" s="4" t="s">
        <v>29</v>
      </c>
    </row>
    <row r="25" spans="1:2" ht="16">
      <c r="A25" s="7" t="s">
        <v>30</v>
      </c>
    </row>
    <row r="26" spans="1:2" ht="15">
      <c r="A26" s="28" t="s">
        <v>394</v>
      </c>
    </row>
    <row r="27" spans="1:2" ht="15">
      <c r="A27" s="28" t="s">
        <v>393</v>
      </c>
    </row>
    <row r="28" spans="1:2" ht="15">
      <c r="A28" s="28" t="s">
        <v>395</v>
      </c>
    </row>
    <row r="29" spans="1:2" ht="15">
      <c r="A29" s="28" t="s">
        <v>396</v>
      </c>
    </row>
    <row r="30" spans="1:2" ht="15">
      <c r="A30" s="29" t="s">
        <v>397</v>
      </c>
    </row>
    <row r="31" spans="1:2" ht="15">
      <c r="A31" s="29" t="s">
        <v>398</v>
      </c>
    </row>
    <row r="32" spans="1:2">
      <c r="A32" s="8" t="s">
        <v>31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showGridLines="0" zoomScale="130" zoomScaleNormal="130" workbookViewId="0">
      <pane ySplit="3" topLeftCell="A9" activePane="bottomLeft" state="frozen"/>
      <selection pane="bottomLeft"/>
    </sheetView>
  </sheetViews>
  <sheetFormatPr defaultColWidth="8.7265625" defaultRowHeight="14.5"/>
  <cols>
    <col min="1" max="1" width="14" customWidth="1"/>
    <col min="2" max="3" width="13" customWidth="1"/>
    <col min="4" max="4" width="12" customWidth="1"/>
    <col min="5" max="5" width="18" bestFit="1" customWidth="1"/>
    <col min="6" max="6" width="15" customWidth="1"/>
    <col min="7" max="7" width="12" customWidth="1"/>
    <col min="8" max="8" width="13" customWidth="1"/>
    <col min="9" max="9" width="12" customWidth="1"/>
    <col min="10" max="10" width="15" customWidth="1"/>
  </cols>
  <sheetData>
    <row r="1" spans="1:11" ht="21.75" customHeight="1">
      <c r="A1" s="1" t="s">
        <v>32</v>
      </c>
    </row>
    <row r="2" spans="1:11" ht="27" customHeight="1">
      <c r="A2" s="9" t="s">
        <v>21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/>
    </row>
    <row r="3" spans="1:11" ht="31.5" customHeight="1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51</v>
      </c>
      <c r="K3" s="10"/>
    </row>
    <row r="4" spans="1:11" ht="16">
      <c r="A4" s="11" t="s">
        <v>52</v>
      </c>
      <c r="B4" s="12" t="s">
        <v>53</v>
      </c>
      <c r="C4" s="11" t="s">
        <v>54</v>
      </c>
      <c r="D4" s="11">
        <v>21.5</v>
      </c>
      <c r="E4" s="13">
        <v>34742</v>
      </c>
      <c r="F4" s="13">
        <v>194194</v>
      </c>
      <c r="G4" s="11">
        <v>24</v>
      </c>
      <c r="H4" s="14" t="s">
        <v>55</v>
      </c>
      <c r="I4" s="11" t="s">
        <v>56</v>
      </c>
      <c r="J4" s="11">
        <f t="shared" ref="J4:J9" si="0">IF(E4="","",IF(E4&gt;=10000,1,0))</f>
        <v>1</v>
      </c>
      <c r="K4" s="15"/>
    </row>
    <row r="5" spans="1:11" ht="16">
      <c r="A5" s="11" t="s">
        <v>57</v>
      </c>
      <c r="B5" s="12" t="s">
        <v>58</v>
      </c>
      <c r="C5" s="11" t="s">
        <v>54</v>
      </c>
      <c r="D5" s="14">
        <v>28.9</v>
      </c>
      <c r="E5" s="13">
        <v>48840</v>
      </c>
      <c r="F5" s="13">
        <v>1660</v>
      </c>
      <c r="G5" s="14">
        <v>30</v>
      </c>
      <c r="H5" s="14" t="s">
        <v>55</v>
      </c>
      <c r="I5" s="11" t="s">
        <v>59</v>
      </c>
      <c r="J5" s="11">
        <f t="shared" si="0"/>
        <v>1</v>
      </c>
      <c r="K5" s="15"/>
    </row>
    <row r="6" spans="1:11" ht="16">
      <c r="A6" s="11" t="s">
        <v>60</v>
      </c>
      <c r="B6" s="12" t="s">
        <v>61</v>
      </c>
      <c r="C6" s="11" t="s">
        <v>54</v>
      </c>
      <c r="D6" s="14">
        <v>28.1</v>
      </c>
      <c r="E6" s="13">
        <v>483021</v>
      </c>
      <c r="F6" s="13">
        <v>11620</v>
      </c>
      <c r="G6" s="14">
        <v>31</v>
      </c>
      <c r="H6" s="14" t="s">
        <v>55</v>
      </c>
      <c r="I6" s="11" t="s">
        <v>59</v>
      </c>
      <c r="J6" s="11">
        <f t="shared" si="0"/>
        <v>1</v>
      </c>
      <c r="K6" s="15"/>
    </row>
    <row r="7" spans="1:11" ht="16">
      <c r="A7" s="11" t="s">
        <v>62</v>
      </c>
      <c r="B7" s="12" t="s">
        <v>63</v>
      </c>
      <c r="C7" s="11" t="s">
        <v>64</v>
      </c>
      <c r="D7" s="14">
        <v>27.3</v>
      </c>
      <c r="E7" s="13">
        <v>70575</v>
      </c>
      <c r="F7" s="13">
        <v>11802</v>
      </c>
      <c r="G7" s="14">
        <v>60</v>
      </c>
      <c r="H7" s="14" t="s">
        <v>55</v>
      </c>
      <c r="I7" s="11" t="s">
        <v>59</v>
      </c>
      <c r="J7" s="11">
        <f t="shared" si="0"/>
        <v>1</v>
      </c>
      <c r="K7" s="15"/>
    </row>
    <row r="8" spans="1:11" ht="16">
      <c r="A8" s="11" t="s">
        <v>65</v>
      </c>
      <c r="B8" s="12" t="s">
        <v>66</v>
      </c>
      <c r="C8" s="11" t="s">
        <v>54</v>
      </c>
      <c r="D8" s="14">
        <v>26.2</v>
      </c>
      <c r="E8" s="13">
        <v>2548</v>
      </c>
      <c r="F8" s="13">
        <v>44546</v>
      </c>
      <c r="G8" s="14">
        <v>22</v>
      </c>
      <c r="H8" s="14" t="s">
        <v>67</v>
      </c>
      <c r="I8" s="11" t="s">
        <v>64</v>
      </c>
      <c r="J8" s="11">
        <f t="shared" si="0"/>
        <v>0</v>
      </c>
      <c r="K8" s="15"/>
    </row>
    <row r="9" spans="1:11" ht="16">
      <c r="A9" s="11" t="s">
        <v>60</v>
      </c>
      <c r="B9" s="12" t="s">
        <v>61</v>
      </c>
      <c r="C9" s="11" t="s">
        <v>68</v>
      </c>
      <c r="D9" s="14"/>
      <c r="E9" s="13">
        <v>49400</v>
      </c>
      <c r="F9" s="13"/>
      <c r="G9" s="14"/>
      <c r="H9" s="14"/>
      <c r="I9" s="14"/>
      <c r="J9" s="14">
        <f t="shared" si="0"/>
        <v>1</v>
      </c>
      <c r="K9" s="15"/>
    </row>
    <row r="11" spans="1:11" ht="15">
      <c r="A11" s="16" t="s">
        <v>69</v>
      </c>
    </row>
    <row r="12" spans="1:11" ht="15">
      <c r="A12" s="16" t="s">
        <v>70</v>
      </c>
    </row>
    <row r="13" spans="1:11" ht="15">
      <c r="A13" s="16" t="s">
        <v>71</v>
      </c>
    </row>
    <row r="14" spans="1:11" ht="15">
      <c r="A14" s="16" t="s">
        <v>72</v>
      </c>
    </row>
    <row r="15" spans="1:11" ht="15">
      <c r="A15" s="16" t="s">
        <v>73</v>
      </c>
    </row>
    <row r="16" spans="1:11" ht="15">
      <c r="A16" s="16" t="s">
        <v>74</v>
      </c>
    </row>
    <row r="17" spans="1:1" ht="15">
      <c r="A17" s="16" t="s">
        <v>75</v>
      </c>
    </row>
    <row r="18" spans="1:1" ht="15">
      <c r="A18" s="16" t="s">
        <v>76</v>
      </c>
    </row>
    <row r="19" spans="1:1" ht="15">
      <c r="A19" s="16" t="s">
        <v>77</v>
      </c>
    </row>
    <row r="20" spans="1:1" ht="15">
      <c r="A20" s="16" t="s">
        <v>78</v>
      </c>
    </row>
    <row r="21" spans="1:1" ht="15">
      <c r="A21" s="16" t="s">
        <v>79</v>
      </c>
    </row>
    <row r="22" spans="1:1" ht="15">
      <c r="A22" s="16" t="s">
        <v>80</v>
      </c>
    </row>
    <row r="23" spans="1:1" ht="15">
      <c r="A23" s="16" t="s">
        <v>81</v>
      </c>
    </row>
    <row r="24" spans="1:1" ht="15">
      <c r="A24" s="16" t="s">
        <v>82</v>
      </c>
    </row>
    <row r="25" spans="1:1" ht="15">
      <c r="A25" s="16" t="s">
        <v>83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showGridLines="0" zoomScale="130" zoomScaleNormal="130" workbookViewId="0">
      <pane ySplit="3" topLeftCell="A4" activePane="bottomLeft" state="frozen"/>
      <selection pane="bottomLeft"/>
    </sheetView>
  </sheetViews>
  <sheetFormatPr defaultColWidth="8.7265625" defaultRowHeight="14.5"/>
  <cols>
    <col min="1" max="1" width="12" customWidth="1"/>
    <col min="2" max="2" width="10" customWidth="1"/>
    <col min="3" max="3" width="18" customWidth="1"/>
    <col min="4" max="5" width="13" customWidth="1"/>
    <col min="6" max="7" width="15" customWidth="1"/>
    <col min="8" max="9" width="14" customWidth="1"/>
    <col min="10" max="11" width="12" customWidth="1"/>
  </cols>
  <sheetData>
    <row r="1" spans="1:11" ht="21.75" customHeight="1">
      <c r="A1" s="1" t="s">
        <v>84</v>
      </c>
    </row>
    <row r="2" spans="1:11" ht="16">
      <c r="A2" s="9" t="s">
        <v>85</v>
      </c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  <c r="G2" s="9" t="s">
        <v>91</v>
      </c>
      <c r="H2" s="9" t="s">
        <v>92</v>
      </c>
      <c r="I2" s="9" t="s">
        <v>93</v>
      </c>
      <c r="J2" s="9" t="s">
        <v>94</v>
      </c>
      <c r="K2" s="9" t="s">
        <v>95</v>
      </c>
    </row>
    <row r="3" spans="1:11" ht="31.5" customHeight="1">
      <c r="A3" s="10" t="s">
        <v>96</v>
      </c>
      <c r="B3" s="10" t="s">
        <v>97</v>
      </c>
      <c r="C3" s="10" t="s">
        <v>98</v>
      </c>
      <c r="D3" s="10" t="s">
        <v>99</v>
      </c>
      <c r="E3" s="10" t="s">
        <v>100</v>
      </c>
      <c r="F3" s="10" t="s">
        <v>101</v>
      </c>
      <c r="G3" s="10" t="s">
        <v>102</v>
      </c>
      <c r="H3" s="10" t="s">
        <v>103</v>
      </c>
      <c r="I3" s="10" t="s">
        <v>104</v>
      </c>
      <c r="J3" s="10" t="s">
        <v>105</v>
      </c>
      <c r="K3" s="10" t="s">
        <v>106</v>
      </c>
    </row>
    <row r="4" spans="1:11" ht="16">
      <c r="A4" s="14" t="s">
        <v>107</v>
      </c>
      <c r="B4" s="14"/>
      <c r="C4" s="11" t="s">
        <v>108</v>
      </c>
      <c r="D4" s="14">
        <v>0</v>
      </c>
      <c r="E4" s="14">
        <v>44.2</v>
      </c>
      <c r="F4" s="14">
        <v>46</v>
      </c>
      <c r="G4" s="14">
        <v>0</v>
      </c>
      <c r="H4" s="14">
        <v>186.21</v>
      </c>
      <c r="I4" s="17">
        <v>2008.7</v>
      </c>
      <c r="J4" s="14">
        <v>69.3</v>
      </c>
      <c r="K4" s="14">
        <v>64.2</v>
      </c>
    </row>
    <row r="5" spans="1:11" ht="16">
      <c r="A5" s="14" t="s">
        <v>109</v>
      </c>
      <c r="B5" s="14"/>
      <c r="C5" s="11" t="s">
        <v>108</v>
      </c>
      <c r="D5" s="14">
        <v>0.1</v>
      </c>
      <c r="E5" s="14">
        <v>49.6</v>
      </c>
      <c r="F5" s="14">
        <v>15.6</v>
      </c>
      <c r="G5" s="14">
        <v>16.899999999999999</v>
      </c>
      <c r="H5" s="14">
        <v>143.37</v>
      </c>
      <c r="I5" s="17">
        <v>507</v>
      </c>
      <c r="J5" s="14">
        <v>40.6</v>
      </c>
      <c r="K5" s="14">
        <v>44.8</v>
      </c>
    </row>
    <row r="6" spans="1:11" ht="16">
      <c r="A6" s="14" t="s">
        <v>110</v>
      </c>
      <c r="B6" s="14"/>
      <c r="C6" s="11" t="s">
        <v>108</v>
      </c>
      <c r="D6" s="14">
        <v>0</v>
      </c>
      <c r="E6" s="14">
        <v>4.7</v>
      </c>
      <c r="F6" s="14">
        <v>10</v>
      </c>
      <c r="G6" s="14">
        <v>12.2</v>
      </c>
      <c r="H6" s="14">
        <v>153.79</v>
      </c>
      <c r="I6" s="17">
        <v>305.2</v>
      </c>
      <c r="J6" s="14">
        <v>38.6</v>
      </c>
      <c r="K6" s="14">
        <v>72.7</v>
      </c>
    </row>
    <row r="7" spans="1:11" ht="16">
      <c r="A7" s="14" t="s">
        <v>111</v>
      </c>
      <c r="B7" s="14" t="s">
        <v>112</v>
      </c>
      <c r="C7" s="11" t="s">
        <v>108</v>
      </c>
      <c r="D7" s="14">
        <v>0</v>
      </c>
      <c r="E7" s="14">
        <v>31.1</v>
      </c>
      <c r="F7" s="14">
        <v>45.8</v>
      </c>
      <c r="G7" s="14">
        <v>34.200000000000003</v>
      </c>
      <c r="H7" s="14">
        <v>70.88</v>
      </c>
      <c r="I7" s="17">
        <v>860.3</v>
      </c>
      <c r="J7" s="14">
        <v>57.7</v>
      </c>
      <c r="K7" s="14">
        <v>60.6</v>
      </c>
    </row>
    <row r="9" spans="1:11" ht="15">
      <c r="A9" s="16" t="s">
        <v>113</v>
      </c>
    </row>
    <row r="10" spans="1:11" ht="15">
      <c r="A10" s="16" t="s">
        <v>114</v>
      </c>
    </row>
    <row r="11" spans="1:11" ht="15">
      <c r="A11" s="16" t="s">
        <v>115</v>
      </c>
    </row>
    <row r="12" spans="1:11" ht="15">
      <c r="A12" s="16" t="s">
        <v>116</v>
      </c>
    </row>
    <row r="13" spans="1:11" ht="15">
      <c r="A13" s="16" t="s">
        <v>117</v>
      </c>
    </row>
    <row r="14" spans="1:11" ht="15">
      <c r="A14" s="16" t="s">
        <v>118</v>
      </c>
    </row>
    <row r="15" spans="1:11" ht="15">
      <c r="A15" s="16" t="s">
        <v>119</v>
      </c>
    </row>
    <row r="16" spans="1:11" ht="15">
      <c r="A16" s="16" t="s">
        <v>120</v>
      </c>
    </row>
    <row r="17" spans="1:1" ht="15">
      <c r="A17" s="16" t="s">
        <v>121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zoomScale="130" zoomScaleNormal="130" workbookViewId="0"/>
  </sheetViews>
  <sheetFormatPr defaultColWidth="8.7265625" defaultRowHeight="14.5"/>
  <cols>
    <col min="1" max="1" width="16" customWidth="1"/>
    <col min="2" max="2" width="42" customWidth="1"/>
    <col min="3" max="3" width="14" customWidth="1"/>
    <col min="4" max="5" width="20" customWidth="1"/>
  </cols>
  <sheetData>
    <row r="1" spans="1:5" ht="21.75" customHeight="1">
      <c r="A1" s="1" t="s">
        <v>122</v>
      </c>
    </row>
    <row r="2" spans="1:5" ht="16">
      <c r="A2" s="18" t="s">
        <v>123</v>
      </c>
      <c r="B2" s="18" t="s">
        <v>124</v>
      </c>
      <c r="C2" s="9" t="s">
        <v>41</v>
      </c>
      <c r="D2" s="18" t="s">
        <v>125</v>
      </c>
      <c r="E2" s="18" t="s">
        <v>126</v>
      </c>
    </row>
    <row r="3" spans="1:5" ht="16">
      <c r="A3" s="14" t="s">
        <v>127</v>
      </c>
      <c r="B3" s="19" t="s">
        <v>128</v>
      </c>
      <c r="C3" s="14">
        <v>0</v>
      </c>
      <c r="D3" s="13"/>
      <c r="E3" s="13">
        <v>1000</v>
      </c>
    </row>
    <row r="4" spans="1:5" ht="16">
      <c r="A4" s="14" t="s">
        <v>67</v>
      </c>
      <c r="B4" s="19" t="s">
        <v>129</v>
      </c>
      <c r="C4" s="14">
        <v>0</v>
      </c>
      <c r="D4" s="13">
        <v>1000</v>
      </c>
      <c r="E4" s="13">
        <v>10000</v>
      </c>
    </row>
    <row r="5" spans="1:5" ht="16">
      <c r="A5" s="14" t="s">
        <v>55</v>
      </c>
      <c r="B5" s="19" t="s">
        <v>130</v>
      </c>
      <c r="C5" s="14">
        <v>1</v>
      </c>
      <c r="D5" s="13">
        <v>10000</v>
      </c>
      <c r="E5" s="13">
        <v>1000000</v>
      </c>
    </row>
    <row r="6" spans="1:5" ht="16">
      <c r="A6" s="14" t="s">
        <v>131</v>
      </c>
      <c r="B6" s="19" t="s">
        <v>132</v>
      </c>
      <c r="C6" s="14">
        <v>1</v>
      </c>
      <c r="D6" s="13">
        <v>1000000</v>
      </c>
      <c r="E6" s="13"/>
    </row>
    <row r="8" spans="1:5" ht="15">
      <c r="A8" s="16" t="s">
        <v>133</v>
      </c>
    </row>
    <row r="9" spans="1:5" ht="15">
      <c r="A9" s="16" t="s">
        <v>134</v>
      </c>
    </row>
    <row r="10" spans="1:5" ht="15">
      <c r="A10" s="16" t="s">
        <v>135</v>
      </c>
    </row>
    <row r="11" spans="1:5" ht="15">
      <c r="A11" s="16" t="s">
        <v>136</v>
      </c>
    </row>
    <row r="12" spans="1:5" ht="15">
      <c r="A12" s="16" t="s">
        <v>137</v>
      </c>
    </row>
    <row r="13" spans="1:5" ht="15">
      <c r="A13" s="16" t="s">
        <v>138</v>
      </c>
    </row>
    <row r="14" spans="1:5" ht="15">
      <c r="A14" s="16" t="s">
        <v>139</v>
      </c>
    </row>
    <row r="15" spans="1:5" ht="15">
      <c r="A15" s="16" t="s">
        <v>140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showGridLines="0" zoomScale="130" zoomScaleNormal="130" workbookViewId="0"/>
  </sheetViews>
  <sheetFormatPr defaultColWidth="8.7265625" defaultRowHeight="14.5"/>
  <cols>
    <col min="1" max="1" width="16" customWidth="1"/>
    <col min="2" max="2" width="24" customWidth="1"/>
    <col min="3" max="3" width="34" customWidth="1"/>
    <col min="4" max="4" width="14" customWidth="1"/>
    <col min="5" max="5" width="34" customWidth="1"/>
  </cols>
  <sheetData>
    <row r="1" spans="1:5" ht="21.75" customHeight="1">
      <c r="A1" s="1" t="s">
        <v>141</v>
      </c>
    </row>
    <row r="2" spans="1:5">
      <c r="A2" s="20" t="s">
        <v>142</v>
      </c>
    </row>
    <row r="4" spans="1:5">
      <c r="A4" s="18" t="s">
        <v>143</v>
      </c>
      <c r="B4" s="18" t="s">
        <v>144</v>
      </c>
      <c r="C4" s="18" t="s">
        <v>145</v>
      </c>
      <c r="D4" s="18" t="s">
        <v>146</v>
      </c>
      <c r="E4" s="18" t="s">
        <v>147</v>
      </c>
    </row>
    <row r="5" spans="1:5" ht="27" customHeight="1">
      <c r="A5" s="21" t="s">
        <v>21</v>
      </c>
      <c r="B5" s="22" t="s">
        <v>148</v>
      </c>
      <c r="C5" s="21" t="s">
        <v>149</v>
      </c>
      <c r="D5" s="21" t="s">
        <v>60</v>
      </c>
      <c r="E5" s="21" t="s">
        <v>150</v>
      </c>
    </row>
    <row r="6" spans="1:5" ht="16">
      <c r="A6" s="21" t="s">
        <v>151</v>
      </c>
      <c r="B6" s="22" t="s">
        <v>152</v>
      </c>
      <c r="C6" s="21" t="s">
        <v>153</v>
      </c>
      <c r="D6" s="21" t="s">
        <v>154</v>
      </c>
      <c r="E6" s="22"/>
    </row>
    <row r="7" spans="1:5" ht="32">
      <c r="A7" s="21" t="s">
        <v>155</v>
      </c>
      <c r="B7" s="22" t="s">
        <v>156</v>
      </c>
      <c r="C7" s="21" t="s">
        <v>153</v>
      </c>
      <c r="D7" s="21" t="s">
        <v>157</v>
      </c>
      <c r="E7" s="21" t="s">
        <v>158</v>
      </c>
    </row>
    <row r="8" spans="1:5" ht="16">
      <c r="A8" s="21" t="s">
        <v>159</v>
      </c>
      <c r="B8" s="22" t="s">
        <v>160</v>
      </c>
      <c r="C8" s="21" t="s">
        <v>161</v>
      </c>
      <c r="D8" s="21" t="s">
        <v>162</v>
      </c>
      <c r="E8" s="22" t="s">
        <v>163</v>
      </c>
    </row>
    <row r="9" spans="1:5" ht="27" customHeight="1">
      <c r="A9" s="21"/>
      <c r="B9" s="22"/>
      <c r="C9" s="21"/>
      <c r="D9" s="21"/>
      <c r="E9" s="22"/>
    </row>
    <row r="11" spans="1:5" ht="16">
      <c r="A11" s="7" t="s">
        <v>164</v>
      </c>
    </row>
    <row r="12" spans="1:5" ht="16">
      <c r="A12" s="9" t="s">
        <v>21</v>
      </c>
      <c r="B12" s="9" t="s">
        <v>151</v>
      </c>
      <c r="C12" s="9" t="s">
        <v>155</v>
      </c>
      <c r="D12" s="9" t="s">
        <v>159</v>
      </c>
      <c r="E12" s="9"/>
    </row>
    <row r="13" spans="1:5" ht="16">
      <c r="A13" s="11" t="s">
        <v>60</v>
      </c>
      <c r="B13" s="11" t="s">
        <v>154</v>
      </c>
      <c r="C13" s="11" t="s">
        <v>157</v>
      </c>
      <c r="D13" s="13">
        <v>18500</v>
      </c>
      <c r="E13" s="14"/>
    </row>
    <row r="14" spans="1:5" ht="16">
      <c r="A14" s="11" t="s">
        <v>62</v>
      </c>
      <c r="B14" s="11" t="s">
        <v>154</v>
      </c>
      <c r="C14" s="11" t="s">
        <v>157</v>
      </c>
      <c r="D14" s="13">
        <v>74200</v>
      </c>
      <c r="E14" s="14"/>
    </row>
    <row r="15" spans="1:5" ht="16">
      <c r="A15" s="11" t="s">
        <v>52</v>
      </c>
      <c r="B15" s="11" t="s">
        <v>165</v>
      </c>
      <c r="C15" s="11" t="s">
        <v>166</v>
      </c>
      <c r="D15" s="13">
        <v>900</v>
      </c>
      <c r="E15" s="14"/>
    </row>
    <row r="17" spans="1:1" ht="15">
      <c r="A17" s="16" t="s">
        <v>167</v>
      </c>
    </row>
    <row r="18" spans="1:1" ht="15">
      <c r="A18" s="16" t="s">
        <v>168</v>
      </c>
    </row>
    <row r="19" spans="1:1" ht="15">
      <c r="A19" s="16" t="s">
        <v>169</v>
      </c>
    </row>
    <row r="20" spans="1:1" ht="15">
      <c r="A20" s="16" t="s">
        <v>170</v>
      </c>
    </row>
    <row r="21" spans="1:1" ht="15">
      <c r="A21" s="16" t="s">
        <v>171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/>
  <cols>
    <col min="1" max="1" width="24" customWidth="1"/>
    <col min="2" max="2" width="26" customWidth="1"/>
    <col min="3" max="3" width="10" customWidth="1"/>
    <col min="4" max="4" width="14" customWidth="1"/>
    <col min="5" max="5" width="40" customWidth="1"/>
  </cols>
  <sheetData>
    <row r="1" spans="1:5" ht="21.75" customHeight="1">
      <c r="A1" s="30" t="s">
        <v>399</v>
      </c>
    </row>
    <row r="2" spans="1:5" ht="15">
      <c r="A2" s="23" t="s">
        <v>172</v>
      </c>
    </row>
    <row r="4" spans="1:5">
      <c r="A4" s="18" t="s">
        <v>173</v>
      </c>
      <c r="B4" s="18" t="s">
        <v>144</v>
      </c>
      <c r="C4" s="18" t="s">
        <v>174</v>
      </c>
      <c r="D4" s="18" t="s">
        <v>175</v>
      </c>
      <c r="E4" s="18" t="s">
        <v>147</v>
      </c>
    </row>
    <row r="5" spans="1:5" ht="16">
      <c r="A5" s="21" t="s">
        <v>176</v>
      </c>
      <c r="B5" s="22" t="s">
        <v>177</v>
      </c>
      <c r="C5" s="24" t="s">
        <v>149</v>
      </c>
      <c r="D5" s="24" t="s">
        <v>178</v>
      </c>
      <c r="E5" s="22" t="s">
        <v>179</v>
      </c>
    </row>
    <row r="6" spans="1:5" ht="16">
      <c r="A6" s="21" t="s">
        <v>180</v>
      </c>
      <c r="B6" s="22" t="s">
        <v>181</v>
      </c>
      <c r="C6" s="24" t="s">
        <v>149</v>
      </c>
      <c r="D6" s="24" t="s">
        <v>178</v>
      </c>
      <c r="E6" s="22" t="s">
        <v>182</v>
      </c>
    </row>
    <row r="7" spans="1:5" ht="16">
      <c r="A7" s="21" t="s">
        <v>183</v>
      </c>
      <c r="B7" s="22" t="s">
        <v>184</v>
      </c>
      <c r="C7" s="24" t="s">
        <v>149</v>
      </c>
      <c r="D7" s="24" t="s">
        <v>178</v>
      </c>
      <c r="E7" s="22"/>
    </row>
    <row r="8" spans="1:5" ht="16">
      <c r="A8" s="21" t="s">
        <v>185</v>
      </c>
      <c r="B8" s="22" t="s">
        <v>186</v>
      </c>
      <c r="C8" s="24" t="s">
        <v>149</v>
      </c>
      <c r="D8" s="24" t="s">
        <v>178</v>
      </c>
      <c r="E8" s="22"/>
    </row>
    <row r="9" spans="1:5" ht="16">
      <c r="A9" s="21" t="s">
        <v>187</v>
      </c>
      <c r="B9" s="22" t="s">
        <v>188</v>
      </c>
      <c r="C9" s="24" t="s">
        <v>149</v>
      </c>
      <c r="D9" s="24" t="s">
        <v>178</v>
      </c>
      <c r="E9" s="22" t="s">
        <v>189</v>
      </c>
    </row>
    <row r="10" spans="1:5" ht="16">
      <c r="A10" s="21" t="s">
        <v>190</v>
      </c>
      <c r="B10" s="22" t="s">
        <v>191</v>
      </c>
      <c r="C10" s="24" t="s">
        <v>149</v>
      </c>
      <c r="D10" s="24" t="s">
        <v>178</v>
      </c>
      <c r="E10" s="22" t="s">
        <v>44</v>
      </c>
    </row>
    <row r="11" spans="1:5" ht="16">
      <c r="A11" s="21" t="s">
        <v>192</v>
      </c>
      <c r="B11" s="22" t="s">
        <v>193</v>
      </c>
      <c r="C11" s="24" t="s">
        <v>149</v>
      </c>
      <c r="D11" s="24" t="s">
        <v>194</v>
      </c>
      <c r="E11" s="22"/>
    </row>
    <row r="12" spans="1:5" ht="16">
      <c r="A12" s="21" t="s">
        <v>195</v>
      </c>
      <c r="B12" s="22" t="s">
        <v>196</v>
      </c>
      <c r="C12" s="24" t="s">
        <v>149</v>
      </c>
      <c r="D12" s="24" t="s">
        <v>178</v>
      </c>
      <c r="E12" s="21" t="s">
        <v>197</v>
      </c>
    </row>
    <row r="13" spans="1:5" ht="16">
      <c r="A13" s="21" t="s">
        <v>198</v>
      </c>
      <c r="B13" s="22" t="s">
        <v>199</v>
      </c>
      <c r="C13" s="24" t="s">
        <v>149</v>
      </c>
      <c r="D13" s="24" t="s">
        <v>200</v>
      </c>
      <c r="E13" s="22"/>
    </row>
    <row r="14" spans="1:5" ht="16">
      <c r="A14" s="21" t="s">
        <v>201</v>
      </c>
      <c r="B14" s="22" t="s">
        <v>202</v>
      </c>
      <c r="C14" s="24" t="s">
        <v>149</v>
      </c>
      <c r="D14" s="24" t="s">
        <v>178</v>
      </c>
      <c r="E14" s="22"/>
    </row>
    <row r="15" spans="1:5" ht="16">
      <c r="A15" s="21" t="s">
        <v>203</v>
      </c>
      <c r="B15" s="22" t="s">
        <v>204</v>
      </c>
      <c r="C15" s="24" t="s">
        <v>149</v>
      </c>
      <c r="D15" s="24" t="s">
        <v>178</v>
      </c>
      <c r="E15" s="22"/>
    </row>
    <row r="16" spans="1:5" ht="16">
      <c r="A16" s="21" t="s">
        <v>205</v>
      </c>
      <c r="B16" s="22" t="s">
        <v>206</v>
      </c>
      <c r="C16" s="24" t="s">
        <v>149</v>
      </c>
      <c r="D16" s="24" t="s">
        <v>207</v>
      </c>
      <c r="E16" s="22"/>
    </row>
    <row r="17" spans="1:5" ht="16">
      <c r="A17" s="21" t="s">
        <v>208</v>
      </c>
      <c r="B17" s="22" t="s">
        <v>209</v>
      </c>
      <c r="C17" s="24" t="s">
        <v>149</v>
      </c>
      <c r="D17" s="24" t="s">
        <v>210</v>
      </c>
      <c r="E17" s="22" t="s">
        <v>211</v>
      </c>
    </row>
    <row r="18" spans="1:5" ht="16">
      <c r="A18" s="21" t="s">
        <v>212</v>
      </c>
      <c r="B18" s="22" t="s">
        <v>213</v>
      </c>
      <c r="C18" s="24" t="s">
        <v>149</v>
      </c>
      <c r="D18" s="24" t="s">
        <v>210</v>
      </c>
      <c r="E18" s="22" t="s">
        <v>214</v>
      </c>
    </row>
    <row r="19" spans="1:5" ht="16">
      <c r="A19" s="21" t="s">
        <v>215</v>
      </c>
      <c r="B19" s="22" t="s">
        <v>216</v>
      </c>
      <c r="C19" s="24" t="s">
        <v>149</v>
      </c>
      <c r="D19" s="24" t="s">
        <v>210</v>
      </c>
      <c r="E19" s="22" t="s">
        <v>214</v>
      </c>
    </row>
    <row r="20" spans="1:5" ht="16">
      <c r="A20" s="21" t="s">
        <v>217</v>
      </c>
      <c r="B20" s="22" t="s">
        <v>218</v>
      </c>
      <c r="C20" s="24" t="s">
        <v>149</v>
      </c>
      <c r="D20" s="24" t="s">
        <v>210</v>
      </c>
      <c r="E20" s="22" t="s">
        <v>214</v>
      </c>
    </row>
    <row r="21" spans="1:5" ht="16">
      <c r="A21" s="21" t="s">
        <v>219</v>
      </c>
      <c r="B21" s="22" t="s">
        <v>220</v>
      </c>
      <c r="C21" s="24" t="s">
        <v>149</v>
      </c>
      <c r="D21" s="24" t="s">
        <v>210</v>
      </c>
      <c r="E21" s="22" t="s">
        <v>214</v>
      </c>
    </row>
    <row r="22" spans="1:5" ht="16">
      <c r="A22" s="21" t="s">
        <v>221</v>
      </c>
      <c r="B22" s="22" t="s">
        <v>222</v>
      </c>
      <c r="C22" s="24" t="s">
        <v>149</v>
      </c>
      <c r="D22" s="24" t="s">
        <v>200</v>
      </c>
      <c r="E22" s="22" t="s">
        <v>223</v>
      </c>
    </row>
    <row r="23" spans="1:5" ht="16">
      <c r="A23" s="21" t="s">
        <v>224</v>
      </c>
      <c r="B23" s="22" t="s">
        <v>225</v>
      </c>
      <c r="C23" s="24" t="s">
        <v>149</v>
      </c>
      <c r="D23" s="24" t="s">
        <v>200</v>
      </c>
      <c r="E23" s="22" t="s">
        <v>223</v>
      </c>
    </row>
    <row r="24" spans="1:5" ht="16">
      <c r="A24" s="21" t="s">
        <v>226</v>
      </c>
      <c r="B24" s="21" t="s">
        <v>227</v>
      </c>
      <c r="C24" s="24" t="s">
        <v>149</v>
      </c>
      <c r="D24" s="24" t="s">
        <v>228</v>
      </c>
      <c r="E24" s="22" t="s">
        <v>229</v>
      </c>
    </row>
    <row r="25" spans="1:5" ht="16">
      <c r="A25" s="21" t="s">
        <v>230</v>
      </c>
      <c r="B25" s="22" t="s">
        <v>231</v>
      </c>
      <c r="C25" s="24" t="s">
        <v>149</v>
      </c>
      <c r="D25" s="24" t="s">
        <v>178</v>
      </c>
      <c r="E25" s="22"/>
    </row>
    <row r="27" spans="1:5" ht="15">
      <c r="A27" s="16" t="s">
        <v>232</v>
      </c>
    </row>
    <row r="28" spans="1:5" ht="15">
      <c r="A28" s="16" t="s">
        <v>233</v>
      </c>
    </row>
    <row r="29" spans="1:5" ht="15">
      <c r="A29" s="16" t="s">
        <v>234</v>
      </c>
    </row>
    <row r="30" spans="1:5" ht="15">
      <c r="A30" s="16" t="s">
        <v>235</v>
      </c>
    </row>
    <row r="31" spans="1:5" ht="15">
      <c r="A31" s="16" t="s">
        <v>236</v>
      </c>
    </row>
    <row r="32" spans="1:5" ht="15">
      <c r="A32" s="16" t="s">
        <v>237</v>
      </c>
    </row>
    <row r="33" spans="1:1" ht="15">
      <c r="A33" s="16" t="s">
        <v>238</v>
      </c>
    </row>
    <row r="34" spans="1:1" ht="15">
      <c r="A34" s="16" t="s">
        <v>239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showGridLines="0" zoomScaleNormal="100" workbookViewId="0"/>
  </sheetViews>
  <sheetFormatPr defaultColWidth="8.7265625" defaultRowHeight="14.5"/>
  <cols>
    <col min="1" max="1" width="30" customWidth="1"/>
    <col min="2" max="2" width="26" customWidth="1"/>
    <col min="3" max="3" width="10" customWidth="1"/>
    <col min="4" max="4" width="14" customWidth="1"/>
    <col min="5" max="5" width="40" customWidth="1"/>
  </cols>
  <sheetData>
    <row r="1" spans="1:5" ht="21.75" customHeight="1">
      <c r="A1" s="30" t="s">
        <v>400</v>
      </c>
    </row>
    <row r="2" spans="1:5" ht="15">
      <c r="A2" s="23" t="s">
        <v>240</v>
      </c>
    </row>
    <row r="4" spans="1:5" ht="16">
      <c r="A4" s="7" t="s">
        <v>241</v>
      </c>
    </row>
    <row r="5" spans="1:5">
      <c r="A5" s="18" t="s">
        <v>173</v>
      </c>
      <c r="B5" s="18" t="s">
        <v>242</v>
      </c>
      <c r="C5" s="18" t="s">
        <v>243</v>
      </c>
      <c r="D5" s="18" t="s">
        <v>146</v>
      </c>
      <c r="E5" s="18" t="s">
        <v>147</v>
      </c>
    </row>
    <row r="6" spans="1:5" ht="16">
      <c r="A6" s="21" t="s">
        <v>244</v>
      </c>
      <c r="B6" s="22" t="s">
        <v>245</v>
      </c>
      <c r="C6" s="22" t="s">
        <v>246</v>
      </c>
      <c r="D6" s="21" t="s">
        <v>178</v>
      </c>
      <c r="E6" s="22" t="s">
        <v>247</v>
      </c>
    </row>
    <row r="7" spans="1:5" ht="16">
      <c r="A7" s="21" t="s">
        <v>248</v>
      </c>
      <c r="B7" s="22" t="s">
        <v>249</v>
      </c>
      <c r="C7" s="22" t="s">
        <v>246</v>
      </c>
      <c r="D7" s="21" t="s">
        <v>250</v>
      </c>
      <c r="E7" s="22"/>
    </row>
    <row r="8" spans="1:5" ht="16">
      <c r="A8" s="21" t="s">
        <v>251</v>
      </c>
      <c r="B8" s="22" t="s">
        <v>252</v>
      </c>
      <c r="C8" s="22" t="s">
        <v>246</v>
      </c>
      <c r="D8" s="21" t="s">
        <v>253</v>
      </c>
      <c r="E8" s="22"/>
    </row>
    <row r="9" spans="1:5" ht="16">
      <c r="A9" s="21" t="s">
        <v>254</v>
      </c>
      <c r="B9" s="22" t="s">
        <v>255</v>
      </c>
      <c r="C9" s="22" t="s">
        <v>246</v>
      </c>
      <c r="D9" s="21" t="s">
        <v>256</v>
      </c>
      <c r="E9" s="22"/>
    </row>
    <row r="10" spans="1:5" ht="16">
      <c r="A10" s="21" t="s">
        <v>257</v>
      </c>
      <c r="B10" s="22" t="s">
        <v>258</v>
      </c>
      <c r="C10" s="22" t="s">
        <v>246</v>
      </c>
      <c r="D10" s="21" t="s">
        <v>259</v>
      </c>
      <c r="E10" s="22"/>
    </row>
    <row r="11" spans="1:5" ht="16">
      <c r="A11" s="21" t="s">
        <v>260</v>
      </c>
      <c r="B11" s="22" t="s">
        <v>261</v>
      </c>
      <c r="C11" s="22" t="s">
        <v>246</v>
      </c>
      <c r="D11" s="21" t="s">
        <v>262</v>
      </c>
      <c r="E11" s="22"/>
    </row>
    <row r="12" spans="1:5" ht="16">
      <c r="A12" s="21" t="s">
        <v>263</v>
      </c>
      <c r="B12" s="22" t="s">
        <v>264</v>
      </c>
      <c r="C12" s="22" t="s">
        <v>265</v>
      </c>
      <c r="D12" s="21" t="s">
        <v>266</v>
      </c>
      <c r="E12" s="22"/>
    </row>
    <row r="14" spans="1:5" ht="16">
      <c r="A14" s="7" t="s">
        <v>267</v>
      </c>
    </row>
    <row r="15" spans="1:5">
      <c r="A15" s="18" t="s">
        <v>173</v>
      </c>
      <c r="B15" s="18" t="s">
        <v>144</v>
      </c>
      <c r="C15" s="18" t="s">
        <v>174</v>
      </c>
      <c r="D15" s="18" t="s">
        <v>175</v>
      </c>
      <c r="E15" s="18" t="s">
        <v>147</v>
      </c>
    </row>
    <row r="16" spans="1:5" ht="16">
      <c r="A16" s="21" t="s">
        <v>86</v>
      </c>
      <c r="B16" s="22" t="s">
        <v>97</v>
      </c>
      <c r="C16" s="24" t="s">
        <v>149</v>
      </c>
      <c r="D16" s="24" t="s">
        <v>178</v>
      </c>
      <c r="E16" s="22" t="s">
        <v>268</v>
      </c>
    </row>
    <row r="17" spans="1:5" ht="16">
      <c r="A17" s="21" t="s">
        <v>85</v>
      </c>
      <c r="B17" s="22" t="s">
        <v>96</v>
      </c>
      <c r="C17" s="24" t="s">
        <v>149</v>
      </c>
      <c r="D17" s="24" t="s">
        <v>178</v>
      </c>
      <c r="E17" s="22" t="s">
        <v>269</v>
      </c>
    </row>
    <row r="18" spans="1:5" ht="16">
      <c r="A18" s="21" t="s">
        <v>270</v>
      </c>
      <c r="B18" s="22" t="s">
        <v>271</v>
      </c>
      <c r="C18" s="24" t="s">
        <v>149</v>
      </c>
      <c r="D18" s="24" t="s">
        <v>272</v>
      </c>
      <c r="E18" s="22"/>
    </row>
    <row r="19" spans="1:5" ht="16">
      <c r="A19" s="21" t="s">
        <v>88</v>
      </c>
      <c r="B19" s="22" t="s">
        <v>273</v>
      </c>
      <c r="C19" s="24" t="s">
        <v>149</v>
      </c>
      <c r="D19" s="24" t="s">
        <v>272</v>
      </c>
      <c r="E19" s="22"/>
    </row>
    <row r="20" spans="1:5" ht="16">
      <c r="A20" s="21" t="s">
        <v>274</v>
      </c>
      <c r="B20" s="22" t="s">
        <v>275</v>
      </c>
      <c r="C20" s="24" t="s">
        <v>149</v>
      </c>
      <c r="D20" s="24" t="s">
        <v>272</v>
      </c>
      <c r="E20" s="22" t="s">
        <v>276</v>
      </c>
    </row>
    <row r="21" spans="1:5" ht="16">
      <c r="A21" s="21" t="s">
        <v>89</v>
      </c>
      <c r="B21" s="22" t="s">
        <v>277</v>
      </c>
      <c r="C21" s="24" t="s">
        <v>149</v>
      </c>
      <c r="D21" s="25" t="s">
        <v>278</v>
      </c>
      <c r="E21" s="22"/>
    </row>
    <row r="22" spans="1:5" ht="16">
      <c r="A22" s="21" t="s">
        <v>90</v>
      </c>
      <c r="B22" s="22" t="s">
        <v>279</v>
      </c>
      <c r="C22" s="24" t="s">
        <v>149</v>
      </c>
      <c r="D22" s="25" t="s">
        <v>278</v>
      </c>
      <c r="E22" s="22" t="s">
        <v>280</v>
      </c>
    </row>
    <row r="23" spans="1:5" ht="16">
      <c r="A23" s="21" t="s">
        <v>91</v>
      </c>
      <c r="B23" s="22" t="s">
        <v>281</v>
      </c>
      <c r="C23" s="24" t="s">
        <v>149</v>
      </c>
      <c r="D23" s="25" t="s">
        <v>278</v>
      </c>
      <c r="E23" s="22" t="s">
        <v>282</v>
      </c>
    </row>
    <row r="24" spans="1:5" ht="16">
      <c r="A24" s="21" t="s">
        <v>92</v>
      </c>
      <c r="B24" s="22" t="s">
        <v>283</v>
      </c>
      <c r="C24" s="24" t="s">
        <v>149</v>
      </c>
      <c r="D24" s="24" t="s">
        <v>284</v>
      </c>
      <c r="E24" s="22" t="s">
        <v>285</v>
      </c>
    </row>
    <row r="25" spans="1:5" ht="16">
      <c r="A25" s="21" t="s">
        <v>93</v>
      </c>
      <c r="B25" s="22" t="s">
        <v>286</v>
      </c>
      <c r="C25" s="24" t="s">
        <v>149</v>
      </c>
      <c r="D25" s="25" t="s">
        <v>287</v>
      </c>
      <c r="E25" s="22" t="s">
        <v>285</v>
      </c>
    </row>
    <row r="26" spans="1:5" ht="16">
      <c r="A26" s="21" t="s">
        <v>94</v>
      </c>
      <c r="B26" s="22" t="s">
        <v>288</v>
      </c>
      <c r="C26" s="24" t="s">
        <v>149</v>
      </c>
      <c r="D26" s="24" t="s">
        <v>289</v>
      </c>
      <c r="E26" s="22" t="s">
        <v>290</v>
      </c>
    </row>
    <row r="27" spans="1:5" ht="16">
      <c r="A27" s="21" t="s">
        <v>291</v>
      </c>
      <c r="B27" s="22" t="s">
        <v>292</v>
      </c>
      <c r="C27" s="24" t="s">
        <v>149</v>
      </c>
      <c r="D27" s="24" t="s">
        <v>293</v>
      </c>
      <c r="E27" s="22" t="s">
        <v>294</v>
      </c>
    </row>
    <row r="28" spans="1:5" ht="16">
      <c r="A28" s="21" t="s">
        <v>295</v>
      </c>
      <c r="B28" s="22" t="s">
        <v>296</v>
      </c>
      <c r="C28" s="24" t="s">
        <v>149</v>
      </c>
      <c r="D28" s="24" t="s">
        <v>284</v>
      </c>
      <c r="E28" s="22"/>
    </row>
    <row r="29" spans="1:5" ht="16">
      <c r="A29" s="21" t="s">
        <v>297</v>
      </c>
      <c r="B29" s="22" t="s">
        <v>298</v>
      </c>
      <c r="C29" s="24" t="s">
        <v>149</v>
      </c>
      <c r="D29" s="25" t="s">
        <v>287</v>
      </c>
      <c r="E29" s="22"/>
    </row>
    <row r="31" spans="1:5" ht="15">
      <c r="A31" s="16" t="s">
        <v>299</v>
      </c>
    </row>
    <row r="32" spans="1:5" ht="15">
      <c r="A32" s="16" t="s">
        <v>300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showGridLines="0" zoomScaleNormal="100" workbookViewId="0"/>
  </sheetViews>
  <sheetFormatPr defaultColWidth="8.7265625" defaultRowHeight="14.5"/>
  <cols>
    <col min="1" max="1" width="22" customWidth="1"/>
    <col min="2" max="2" width="20" customWidth="1"/>
    <col min="3" max="3" width="24" customWidth="1"/>
    <col min="4" max="4" width="14" customWidth="1"/>
    <col min="5" max="5" width="40" customWidth="1"/>
  </cols>
  <sheetData>
    <row r="1" spans="1:5" ht="21.75" customHeight="1">
      <c r="A1" s="30" t="s">
        <v>401</v>
      </c>
    </row>
    <row r="2" spans="1:5" ht="15">
      <c r="A2" s="23" t="s">
        <v>301</v>
      </c>
    </row>
    <row r="3" spans="1:5">
      <c r="A3" s="26" t="s">
        <v>302</v>
      </c>
    </row>
    <row r="5" spans="1:5">
      <c r="A5" s="18" t="s">
        <v>173</v>
      </c>
      <c r="B5" s="18" t="s">
        <v>303</v>
      </c>
      <c r="C5" s="18" t="s">
        <v>144</v>
      </c>
      <c r="D5" s="18" t="s">
        <v>175</v>
      </c>
      <c r="E5" s="18" t="s">
        <v>147</v>
      </c>
    </row>
    <row r="6" spans="1:5" ht="16">
      <c r="A6" s="21" t="s">
        <v>304</v>
      </c>
      <c r="B6" s="22" t="s">
        <v>305</v>
      </c>
      <c r="C6" s="21" t="s">
        <v>306</v>
      </c>
      <c r="D6" s="24" t="s">
        <v>178</v>
      </c>
      <c r="E6" s="22" t="s">
        <v>307</v>
      </c>
    </row>
    <row r="7" spans="1:5" ht="16">
      <c r="A7" s="21" t="s">
        <v>308</v>
      </c>
      <c r="B7" s="22" t="s">
        <v>309</v>
      </c>
      <c r="C7" s="22" t="s">
        <v>310</v>
      </c>
      <c r="D7" s="24" t="s">
        <v>178</v>
      </c>
      <c r="E7" s="22"/>
    </row>
    <row r="8" spans="1:5" ht="16">
      <c r="A8" s="21" t="s">
        <v>311</v>
      </c>
      <c r="B8" s="22" t="s">
        <v>312</v>
      </c>
      <c r="C8" s="22" t="s">
        <v>313</v>
      </c>
      <c r="D8" s="24" t="s">
        <v>178</v>
      </c>
      <c r="E8" s="22" t="s">
        <v>314</v>
      </c>
    </row>
    <row r="9" spans="1:5" ht="16">
      <c r="A9" s="21" t="s">
        <v>315</v>
      </c>
      <c r="B9" s="22" t="s">
        <v>316</v>
      </c>
      <c r="C9" s="22" t="s">
        <v>317</v>
      </c>
      <c r="D9" s="24" t="s">
        <v>194</v>
      </c>
      <c r="E9" s="22" t="s">
        <v>318</v>
      </c>
    </row>
    <row r="10" spans="1:5" ht="16">
      <c r="A10" s="21" t="s">
        <v>319</v>
      </c>
      <c r="B10" s="22" t="s">
        <v>320</v>
      </c>
      <c r="C10" s="22" t="s">
        <v>321</v>
      </c>
      <c r="D10" s="24" t="s">
        <v>272</v>
      </c>
      <c r="E10" s="22" t="s">
        <v>322</v>
      </c>
    </row>
    <row r="11" spans="1:5" ht="16">
      <c r="A11" s="21" t="s">
        <v>323</v>
      </c>
      <c r="B11" s="21" t="s">
        <v>324</v>
      </c>
      <c r="C11" s="21" t="s">
        <v>178</v>
      </c>
      <c r="D11" s="24" t="s">
        <v>272</v>
      </c>
      <c r="E11" s="22"/>
    </row>
    <row r="12" spans="1:5" ht="16">
      <c r="A12" s="21" t="s">
        <v>325</v>
      </c>
      <c r="B12" s="22" t="s">
        <v>326</v>
      </c>
      <c r="C12" s="22" t="s">
        <v>327</v>
      </c>
      <c r="D12" s="24" t="s">
        <v>328</v>
      </c>
      <c r="E12" s="22" t="s">
        <v>329</v>
      </c>
    </row>
    <row r="13" spans="1:5" ht="16">
      <c r="A13" s="21" t="s">
        <v>330</v>
      </c>
      <c r="B13" s="22" t="s">
        <v>331</v>
      </c>
      <c r="C13" s="21" t="s">
        <v>178</v>
      </c>
      <c r="D13" s="24" t="s">
        <v>328</v>
      </c>
      <c r="E13" s="22"/>
    </row>
    <row r="14" spans="1:5" ht="16">
      <c r="A14" s="21" t="s">
        <v>332</v>
      </c>
      <c r="B14" s="22" t="s">
        <v>333</v>
      </c>
      <c r="C14" s="22" t="s">
        <v>334</v>
      </c>
      <c r="D14" s="24" t="s">
        <v>289</v>
      </c>
      <c r="E14" s="22"/>
    </row>
    <row r="15" spans="1:5" ht="16">
      <c r="A15" s="21" t="s">
        <v>335</v>
      </c>
      <c r="B15" s="22" t="s">
        <v>336</v>
      </c>
      <c r="C15" s="22" t="s">
        <v>337</v>
      </c>
      <c r="D15" s="24" t="s">
        <v>338</v>
      </c>
      <c r="E15" s="22" t="s">
        <v>339</v>
      </c>
    </row>
    <row r="16" spans="1:5" ht="16">
      <c r="A16" s="21" t="s">
        <v>340</v>
      </c>
      <c r="B16" s="22" t="s">
        <v>341</v>
      </c>
      <c r="C16" s="22" t="s">
        <v>342</v>
      </c>
      <c r="D16" s="24" t="s">
        <v>343</v>
      </c>
      <c r="E16" s="22" t="s">
        <v>339</v>
      </c>
    </row>
    <row r="17" spans="1:5" ht="16">
      <c r="A17" s="21" t="s">
        <v>344</v>
      </c>
      <c r="B17" s="22" t="s">
        <v>345</v>
      </c>
      <c r="C17" s="22" t="s">
        <v>346</v>
      </c>
      <c r="D17" s="24" t="s">
        <v>194</v>
      </c>
      <c r="E17" s="22"/>
    </row>
    <row r="18" spans="1:5" ht="16">
      <c r="A18" s="21" t="s">
        <v>347</v>
      </c>
      <c r="B18" s="22" t="s">
        <v>348</v>
      </c>
      <c r="C18" s="22" t="s">
        <v>349</v>
      </c>
      <c r="D18" s="24" t="s">
        <v>350</v>
      </c>
      <c r="E18" s="22"/>
    </row>
    <row r="19" spans="1:5" ht="16">
      <c r="A19" s="21" t="s">
        <v>351</v>
      </c>
      <c r="B19" s="22" t="s">
        <v>352</v>
      </c>
      <c r="C19" s="22" t="s">
        <v>353</v>
      </c>
      <c r="D19" s="24" t="s">
        <v>178</v>
      </c>
      <c r="E19" s="22"/>
    </row>
    <row r="21" spans="1:5" ht="15">
      <c r="A21" s="16" t="s">
        <v>354</v>
      </c>
    </row>
    <row r="22" spans="1:5" ht="15">
      <c r="A22" s="16" t="s">
        <v>355</v>
      </c>
    </row>
    <row r="23" spans="1:5" ht="15">
      <c r="A23" s="16" t="s">
        <v>356</v>
      </c>
    </row>
    <row r="24" spans="1:5" ht="15">
      <c r="A24" s="16" t="s">
        <v>357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4"/>
  <sheetViews>
    <sheetView showGridLines="0" zoomScaleNormal="100" workbookViewId="0"/>
  </sheetViews>
  <sheetFormatPr defaultColWidth="8.7265625" defaultRowHeight="14.5"/>
  <cols>
    <col min="1" max="1" width="22" customWidth="1"/>
    <col min="2" max="2" width="100" customWidth="1"/>
  </cols>
  <sheetData>
    <row r="1" spans="1:2" ht="21.75" customHeight="1">
      <c r="A1" s="30" t="s">
        <v>402</v>
      </c>
    </row>
    <row r="2" spans="1:2">
      <c r="A2" s="26" t="s">
        <v>358</v>
      </c>
    </row>
    <row r="4" spans="1:2">
      <c r="A4" s="20" t="s">
        <v>359</v>
      </c>
      <c r="B4" s="3" t="s">
        <v>360</v>
      </c>
    </row>
    <row r="5" spans="1:2">
      <c r="A5" s="20" t="s">
        <v>361</v>
      </c>
      <c r="B5" s="3" t="s">
        <v>362</v>
      </c>
    </row>
    <row r="6" spans="1:2">
      <c r="A6" s="20" t="s">
        <v>363</v>
      </c>
      <c r="B6" s="3" t="s">
        <v>364</v>
      </c>
    </row>
    <row r="7" spans="1:2">
      <c r="A7" s="20" t="s">
        <v>365</v>
      </c>
      <c r="B7" s="3" t="s">
        <v>366</v>
      </c>
    </row>
    <row r="8" spans="1:2">
      <c r="A8" s="20" t="s">
        <v>367</v>
      </c>
      <c r="B8" s="3" t="s">
        <v>368</v>
      </c>
    </row>
    <row r="9" spans="1:2" ht="16">
      <c r="A9" s="20" t="s">
        <v>369</v>
      </c>
      <c r="B9" s="4" t="s">
        <v>370</v>
      </c>
    </row>
    <row r="10" spans="1:2">
      <c r="A10" s="20" t="s">
        <v>371</v>
      </c>
      <c r="B10" s="3" t="s">
        <v>372</v>
      </c>
    </row>
    <row r="11" spans="1:2" ht="16">
      <c r="A11" s="20" t="s">
        <v>373</v>
      </c>
      <c r="B11" s="4" t="s">
        <v>374</v>
      </c>
    </row>
    <row r="12" spans="1:2">
      <c r="A12" s="20" t="s">
        <v>375</v>
      </c>
      <c r="B12" s="3" t="s">
        <v>376</v>
      </c>
    </row>
    <row r="13" spans="1:2">
      <c r="A13" s="20" t="s">
        <v>377</v>
      </c>
      <c r="B13" s="3" t="s">
        <v>378</v>
      </c>
    </row>
    <row r="14" spans="1:2" ht="16">
      <c r="A14" s="20" t="s">
        <v>379</v>
      </c>
      <c r="B14" s="4" t="s">
        <v>380</v>
      </c>
    </row>
    <row r="15" spans="1:2" ht="16">
      <c r="A15" s="7" t="s">
        <v>381</v>
      </c>
      <c r="B15" s="4" t="s">
        <v>382</v>
      </c>
    </row>
    <row r="16" spans="1:2" ht="16">
      <c r="A16" s="20" t="s">
        <v>383</v>
      </c>
      <c r="B16" s="4" t="s">
        <v>384</v>
      </c>
    </row>
    <row r="17" spans="1:2" ht="16">
      <c r="A17" s="7" t="s">
        <v>385</v>
      </c>
      <c r="B17" s="4" t="s">
        <v>386</v>
      </c>
    </row>
    <row r="18" spans="1:2" ht="16">
      <c r="A18" s="7"/>
      <c r="B18" s="3"/>
    </row>
    <row r="19" spans="1:2">
      <c r="A19" s="20" t="s">
        <v>387</v>
      </c>
      <c r="B19" s="3" t="s">
        <v>388</v>
      </c>
    </row>
    <row r="20" spans="1:2" ht="16">
      <c r="A20" s="7"/>
      <c r="B20" s="3" t="s">
        <v>389</v>
      </c>
    </row>
    <row r="21" spans="1:2" ht="16">
      <c r="A21" s="7"/>
      <c r="B21" s="3" t="s">
        <v>390</v>
      </c>
    </row>
    <row r="23" spans="1:2" ht="15">
      <c r="A23" s="16" t="s">
        <v>391</v>
      </c>
    </row>
    <row r="24" spans="1:2" ht="15">
      <c r="A24" s="16" t="s">
        <v>392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README</vt:lpstr>
      <vt:lpstr>①조류경보제_측정자료</vt:lpstr>
      <vt:lpstr>②다목적댐_운영자료</vt:lpstr>
      <vt:lpstr>③경보발령기준</vt:lpstr>
      <vt:lpstr>④제출형식_예시</vt:lpstr>
      <vt:lpstr>⑤데이터사전_조류경보제</vt:lpstr>
      <vt:lpstr>⑥데이터사전_다목적댐</vt:lpstr>
      <vt:lpstr>⑦데이터사전_ASOS</vt:lpstr>
      <vt:lpstr>⑧데이터사전_일평균수위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Junho Moon</cp:lastModifiedBy>
  <cp:revision>0</cp:revision>
  <dcterms:created xsi:type="dcterms:W3CDTF">2026-08-28T05:24:56Z</dcterms:created>
  <dcterms:modified xsi:type="dcterms:W3CDTF">2026-09-14T02:21:10Z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MzU3IiwibG9nVGltZSI6IjIwMjYtMDgtMjhUMDU6Mjk6NDFaIiwicElEIjoxLCJwcm9jZXNzSWQiOjI0MDYwLCJwcm9jZXNzTmFtZSI6IkVYQ0VMLkVYRSIsInRyYWNlSWQiOiI5MDE1RjYxOTA5MTI0REQyOEE3RTg0RTYyNzlCMTM1NiIsInVzZXJDb2RlIjoiMjAxMjA4MzIifSwibm9kZTIiOnsiZHNkIjoiMDEwMDAwMDAwMDAwMzM1NyIsImxvZ1RpbWUiOiIyMDI2LTA4LTI4VDA1OjI5OjQxWiIsInBJRCI6MSwicHJvY2Vzc0lkIjoyNDA2MCwicHJvY2Vzc05hbWUiOiJFWENFTC5FWEUiLCJ0cmFjZUlkIjoiOTAxNUY2MTkwOTEyNEREMjhBN0U4NEU2Mjc5QjEzNTYiLCJ1c2VyQ29kZSI6IjIwMTIwODMyIn0sIm5vZGUzIjp7ImRzZCI6IjAxMDAwMDAwMDAwMDMzNTciLCJsb2dUaW1lIjoiMjAyNi0wOC0yOFQwNToyOTo0MVoiLCJwSUQiOjEsInByb2Nlc3NJZCI6MjQwNjAsInByb2Nlc3NOYW1lIjoiRVhDRUwuRVhFIiwidHJhY2VJZCI6IjkwMTVGNjE5MDkxMjRERDI4QTdFODRFNjI3OUIxMzU2IiwidXNlckNvZGUiOiIyMDEyMDgzMiJ9LCJub2RlNCI6eyJkc2QiOiIwMTAwMDAwMDAwMDAzMzU3IiwibG9nVGltZSI6IjIwMjYtMDgtMjhUMDU6Mjk6NDFaIiwicElEIjoxLCJwcm9jZXNzSWQiOjI0MDYwLCJwcm9jZXNzTmFtZSI6IkVYQ0VMLkVYRSIsInRyYWNlSWQiOiI5MDE1RjYxOTA5MTI0REQyOEE3RTg0RTYyNzlCMTM1NiIsInVzZXJDb2RlIjoiMjAxMjA4MzIifSwibm9kZTUiOnsiZHNkIjoiMDAwMDAwMDAwMDAwMDAwMCIsImxvZ1RpbWUiOiIyMDI2LTA4LTI4VDA1OjM1OjM5WiIsInBJRCI6MjA0OCwicHJvY2Vzc0lkIjoyNDA2MCwicHJvY2Vzc05hbWUiOiJFWENFTC5FWEUiLCJ0cmFjZUlkIjoiNENBNjNDNkE5NEI1NEJFMTk1RjZBNTVBQTlGNzhFMDUiLCJ1c2VyQ29kZSI6IjIwMTIwODMyIn0sIm5vZGVDb3VudCI6Miwicm9vdFRyYWNlSWQiOiI5MDE1RjYxOTA5MTI0REQyOEE3RTg0RTYyNzlCMTM1NiJ9</vt:lpwstr>
  </property>
</Properties>
</file>